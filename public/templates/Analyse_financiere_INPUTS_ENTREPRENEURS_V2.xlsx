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GUIDE DUTILISATION" sheetId="1" r:id="rId4"/>
    <sheet state="visible" name="1️⃣ Infos Générales" sheetId="2" r:id="rId5"/>
    <sheet state="visible" name="2️⃣ Données Historiques" sheetId="3" r:id="rId6"/>
    <sheet state="visible" name="3️⃣ Produits &amp; Services" sheetId="4" r:id="rId7"/>
    <sheet state="visible" name="4️⃣ Ressources Humaines" sheetId="5" r:id="rId8"/>
    <sheet state="visible" name="6️⃣ Coûts Fixes &amp; Variables" sheetId="6" r:id="rId9"/>
    <sheet state="visible" name="6️⃣ BFR, Invest. &amp; Finance" sheetId="7" r:id="rId10"/>
    <sheet state="visible" name="5️⃣ Hypothèses Croissance" sheetId="8" r:id="rId11"/>
  </sheets>
  <definedNames/>
  <calcPr/>
  <extLst>
    <ext uri="GoogleSheetsCustomDataVersion2">
      <go:sheetsCustomData xmlns:go="http://customooxmlschemas.google.com/" r:id="rId12" roundtripDataChecksum="VPPawPcbwZZKyF1Y6OCWSVLy3WNAGZLRK6Gm3PZf880="/>
    </ext>
  </extLst>
</workbook>
</file>

<file path=xl/sharedStrings.xml><?xml version="1.0" encoding="utf-8"?>
<sst xmlns="http://schemas.openxmlformats.org/spreadsheetml/2006/main" count="755" uniqueCount="350">
  <si>
    <t>📖 GUIDE D'UTILISATION - FRAMEWORK D'INPUTS ENTREPRENEURS</t>
  </si>
  <si>
    <t>🎯 OBJECTIF DE CE FRAMEWORK</t>
  </si>
  <si>
    <t>Ce framework vous permet de structurer les informations financières de votre entreprise pour :</t>
  </si>
  <si>
    <t>✅ Analyser la situation financière actuelle</t>
  </si>
  <si>
    <t>✅ Établir des projections réalistes sur 5 ans</t>
  </si>
  <si>
    <t>✅ Identifier les leviers de croissance</t>
  </si>
  <si>
    <t>✅ Préparer des dossiers de financement</t>
  </si>
  <si>
    <t>✅ Piloter la performance de votre activité</t>
  </si>
  <si>
    <t>📝 COMMENT REMPLIR CE FRAMEWORK</t>
  </si>
  <si>
    <t>ÉTAPE 1</t>
  </si>
  <si>
    <t>Informations Générales</t>
  </si>
  <si>
    <t>Remplissez les informations de base sur votre entreprise</t>
  </si>
  <si>
    <t>ÉTAPE 2</t>
  </si>
  <si>
    <t>Données Historiques</t>
  </si>
  <si>
    <t>Indiquez vos chiffres réels des 3 dernières années (si disponibles)</t>
  </si>
  <si>
    <t>ÉTAPE 3</t>
  </si>
  <si>
    <t>Produits &amp; Services</t>
  </si>
  <si>
    <t>Listez tous vos produits/services et leurs prix</t>
  </si>
  <si>
    <t>ÉTAPE 4</t>
  </si>
  <si>
    <t>Coûts &amp; Charges</t>
  </si>
  <si>
    <t>Détaillez vos coûts de production et charges fixes</t>
  </si>
  <si>
    <t>ÉTAPE 5</t>
  </si>
  <si>
    <t>Ressources Humaines</t>
  </si>
  <si>
    <t>Listez votre équipe et les salaires</t>
  </si>
  <si>
    <t>ÉTAPE 6</t>
  </si>
  <si>
    <t>Investissements</t>
  </si>
  <si>
    <t>Indiquez les investissements prévus (équipements, etc.)</t>
  </si>
  <si>
    <t>ÉTAPE 7</t>
  </si>
  <si>
    <t>Hypothèses Croissance</t>
  </si>
  <si>
    <t>Définissez vos objectifs de croissance</t>
  </si>
  <si>
    <t>ÉTAPE 8</t>
  </si>
  <si>
    <t>Financement</t>
  </si>
  <si>
    <t>Précisez vos besoins et sources de financement</t>
  </si>
  <si>
    <t>💡 CONSEILS IMPORTANTS</t>
  </si>
  <si>
    <t>📌 Soyez RÉALISTE dans vos estimations - évitez d'être trop optimiste</t>
  </si>
  <si>
    <t>📌 Basez-vous sur des DONNÉES RÉELLES quand vous en avez</t>
  </si>
  <si>
    <t>📌 Les cellules en BLEU sont à remplir obligatoirement</t>
  </si>
  <si>
    <t>📌 Les cellules en GRIS contiennent des exemples (à remplacer)</t>
  </si>
  <si>
    <t>📌 Consultez les exemples GOTCHE pour vous inspirer</t>
  </si>
  <si>
    <t>📌 N'hésitez pas à demander de l'aide pour les sections complexes</t>
  </si>
  <si>
    <t>🎨 LÉGENDE DES COULEURS</t>
  </si>
  <si>
    <t>🔵 Bleu</t>
  </si>
  <si>
    <t>Cellule à remplir (OBLIGATOIRE)</t>
  </si>
  <si>
    <t>⚪ Blanc</t>
  </si>
  <si>
    <t>Cellule à remplir (OPTIONNELLE)</t>
  </si>
  <si>
    <t>🟢 Vert</t>
  </si>
  <si>
    <t>Calcul automatique (NE PAS MODIFIER)</t>
  </si>
  <si>
    <t>🟡 Jaune</t>
  </si>
  <si>
    <t>Information importante / Alerte</t>
  </si>
  <si>
    <t>1️⃣ INFORMATIONS GÉNÉRALES</t>
  </si>
  <si>
    <t>🏢 IDENTIFICATION DE L'ENTREPRISE</t>
  </si>
  <si>
    <t>Nom de l'entreprise *</t>
  </si>
  <si>
    <t>Ex: GOTCHE SARL</t>
  </si>
  <si>
    <t>Forme juridique</t>
  </si>
  <si>
    <t>Ex: SARL, SA, SAS, Entreprise Individuelle</t>
  </si>
  <si>
    <t>Pays *</t>
  </si>
  <si>
    <t>Ex: Côte d'Ivoire</t>
  </si>
  <si>
    <t>Ville/Région</t>
  </si>
  <si>
    <t>Ex: Abidjan, Bouaké</t>
  </si>
  <si>
    <t>Secteur d'activité *</t>
  </si>
  <si>
    <t>Ex: Agriculture, Commerce, Services</t>
  </si>
  <si>
    <t>Date de création</t>
  </si>
  <si>
    <t>Ex: 01/01/2020</t>
  </si>
  <si>
    <t>Numéro d'immatriculation</t>
  </si>
  <si>
    <t>Si disponible</t>
  </si>
  <si>
    <t>📞 CONTACT PRINCIPAL</t>
  </si>
  <si>
    <t>Nom &amp; Prénom du dirigeant *</t>
  </si>
  <si>
    <t>Ex: Jean KOUADIO</t>
  </si>
  <si>
    <t>Fonction</t>
  </si>
  <si>
    <t>Ex: Gérant, Directeur Général</t>
  </si>
  <si>
    <t>Téléphone *</t>
  </si>
  <si>
    <t>Ex: +225 XX XX XX XX XX</t>
  </si>
  <si>
    <t>Email *</t>
  </si>
  <si>
    <t>Ex: contact@entreprise.ci</t>
  </si>
  <si>
    <t>💰 PARAMÈTRES FINANCIERS</t>
  </si>
  <si>
    <t>Devise principale *</t>
  </si>
  <si>
    <t>Ex: XOF (Franc CFA)</t>
  </si>
  <si>
    <t>Année fiscale</t>
  </si>
  <si>
    <t>Ex: Janvier à Décembre</t>
  </si>
  <si>
    <t>Taux de TVA applicable</t>
  </si>
  <si>
    <t>Ex: 18% (Côte d'Ivoire)</t>
  </si>
  <si>
    <t>Régime fiscal</t>
  </si>
  <si>
    <t>Ex: Réel Normal, Réel Simplifié</t>
  </si>
  <si>
    <t>📋 DESCRIPTION DE L'ACTIVITÉ</t>
  </si>
  <si>
    <t>Décrivez en quelques lignes votre activité principale :</t>
  </si>
  <si>
    <t>Ex: Production et commercialisation de cultures vivrières (manioc, maïs, arachide), transformation de produits agricoles et prestation de services agricoles aux petits exploitants.</t>
  </si>
  <si>
    <t>2️⃣ DONNÉES HISTORIQUES (3 DERNIÈRES ANNÉES)</t>
  </si>
  <si>
    <t>💡 Si votre entreprise a moins de 3 ans, remplissez uniquement les années disponibles.</t>
  </si>
  <si>
    <t>INDICATEUR</t>
  </si>
  <si>
    <t>Unité</t>
  </si>
  <si>
    <t>Année N-2</t>
  </si>
  <si>
    <t>Année N-1</t>
  </si>
  <si>
    <t>Année N</t>
  </si>
  <si>
    <t>Exemple GOTCHE (2022)</t>
  </si>
  <si>
    <t>Exemple GOTCHE (2023)</t>
  </si>
  <si>
    <t>Exemple GOTCHE (2024)</t>
  </si>
  <si>
    <t>💰 REVENUS</t>
  </si>
  <si>
    <t>Chiffre d'Affaires Total</t>
  </si>
  <si>
    <t>XOF</t>
  </si>
  <si>
    <t>8 500 000</t>
  </si>
  <si>
    <t>15 000 000</t>
  </si>
  <si>
    <t>32 000 000</t>
  </si>
  <si>
    <t>dont : Produit 1</t>
  </si>
  <si>
    <t>5 000 000</t>
  </si>
  <si>
    <t>9 000 000</t>
  </si>
  <si>
    <t>20 000 000</t>
  </si>
  <si>
    <t>dont : Produit 2</t>
  </si>
  <si>
    <t>2 000 000</t>
  </si>
  <si>
    <t>3 500 000</t>
  </si>
  <si>
    <t>7 000 000</t>
  </si>
  <si>
    <t>dont : Produit 3</t>
  </si>
  <si>
    <t>1 500 000</t>
  </si>
  <si>
    <t>2 500 000</t>
  </si>
  <si>
    <t>💸 COÛTS &amp; CHARGES</t>
  </si>
  <si>
    <t>Coûts directs/variables</t>
  </si>
  <si>
    <t>5 100 000</t>
  </si>
  <si>
    <t>19 200 000</t>
  </si>
  <si>
    <t>Charges fixes</t>
  </si>
  <si>
    <t>2 800 000</t>
  </si>
  <si>
    <t>4 500 000</t>
  </si>
  <si>
    <t>8 000 000</t>
  </si>
  <si>
    <t>dont : Salaires &amp; charges</t>
  </si>
  <si>
    <t>1 800 000</t>
  </si>
  <si>
    <t>3 000 000</t>
  </si>
  <si>
    <t>dont : Loyer &amp; utilities</t>
  </si>
  <si>
    <t>400 000</t>
  </si>
  <si>
    <t>600 000</t>
  </si>
  <si>
    <t>1 200 000</t>
  </si>
  <si>
    <t>dont : Autres charges</t>
  </si>
  <si>
    <t>900 000</t>
  </si>
  <si>
    <t>💎 RÉSULTATS</t>
  </si>
  <si>
    <t>Résultat d'exploitation</t>
  </si>
  <si>
    <t>4 800 000</t>
  </si>
  <si>
    <t>Résultat net</t>
  </si>
  <si>
    <t>500 000</t>
  </si>
  <si>
    <t>4 000 000</t>
  </si>
  <si>
    <t>📊 AUTRES INDICATEURS</t>
  </si>
  <si>
    <t>Nombre de clients</t>
  </si>
  <si>
    <t>50</t>
  </si>
  <si>
    <t>120</t>
  </si>
  <si>
    <t>280</t>
  </si>
  <si>
    <t>Nombre d'employés</t>
  </si>
  <si>
    <t>3</t>
  </si>
  <si>
    <t>5</t>
  </si>
  <si>
    <t>8</t>
  </si>
  <si>
    <t>Trésorerie fin d'année</t>
  </si>
  <si>
    <t>1 000 000</t>
  </si>
  <si>
    <t>6 000 000</t>
  </si>
  <si>
    <t>3️⃣ PRODUITS &amp; SERVICES</t>
  </si>
  <si>
    <t>💡 Listez tous vos produits et services. Ajoutez autant de lignes que nécessaire.</t>
  </si>
  <si>
    <t>#</t>
  </si>
  <si>
    <t>Nom du Produit/Service</t>
  </si>
  <si>
    <t>Type</t>
  </si>
  <si>
    <t>Prix Unitaire</t>
  </si>
  <si>
    <t>Coût Unitaire</t>
  </si>
  <si>
    <t>Marge %</t>
  </si>
  <si>
    <t>Manioc</t>
  </si>
  <si>
    <t>Produit</t>
  </si>
  <si>
    <t>kg</t>
  </si>
  <si>
    <t>Maïs</t>
  </si>
  <si>
    <t>Arachide</t>
  </si>
  <si>
    <t>Transformation de manioc</t>
  </si>
  <si>
    <t>Service</t>
  </si>
  <si>
    <t>tonne</t>
  </si>
  <si>
    <t>Services agricoles</t>
  </si>
  <si>
    <t>hectare</t>
  </si>
  <si>
    <t>👇 VOS PRODUITS/SERVICES</t>
  </si>
  <si>
    <t>ASSAMA</t>
  </si>
  <si>
    <t>4️⃣ RESSOURCES HUMAINES</t>
  </si>
  <si>
    <t>💡 Listez tous les postes actuels et prévus. Incluez charges sociales (environ 25% en Côte d'Ivoire).</t>
  </si>
  <si>
    <t>Poste</t>
  </si>
  <si>
    <t>Nombre</t>
  </si>
  <si>
    <t>Gérant</t>
  </si>
  <si>
    <t>Responsable Production</t>
  </si>
  <si>
    <t>Technicien Agricole</t>
  </si>
  <si>
    <t>Ouvriers Agricoles</t>
  </si>
  <si>
    <t>Commercial</t>
  </si>
  <si>
    <t>👇 VOTRE ÉQUIPE</t>
  </si>
  <si>
    <t>💰 MASSE SALARIALE - SAISIE MENSUELLE 60 MOIS</t>
  </si>
  <si>
    <t>Saisie mensuelle sur 5 ans (60 mois) pour capturer les variations saisonnières et évolutions progressives</t>
  </si>
  <si>
    <t>ANNÉE 1</t>
  </si>
  <si>
    <t>ANNÉE 2</t>
  </si>
  <si>
    <t>ANNÉE 3</t>
  </si>
  <si>
    <t>ANNÉE 4</t>
  </si>
  <si>
    <t>ANNÉE 5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</si>
  <si>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</si>
  <si>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</si>
  <si>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</si>
  <si>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</si>
  <si>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</si>
  <si>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</si>
  <si>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</si>
  <si>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</si>
  <si>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</si>
  <si>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</si>
  <si>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</si>
  <si>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</si>
  <si>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Total An</t>
  </si>
  <si>
    <t>Salaires Bruts Permanents</t>
  </si>
  <si>
    <t>Charges Sociales</t>
  </si>
  <si>
    <t>Salaires Saisonniers/Temporaires</t>
  </si>
  <si>
    <t>Primes &amp; Bonus</t>
  </si>
  <si>
    <t>Formations &amp; Développement</t>
  </si>
  <si>
    <t>Autres Frais RH</t>
  </si>
  <si>
    <t>TOTAL</t>
  </si>
  <si>
    <t>💡 Conseil : Saisissez les montants mois par mois pour refléter les variations saisonnières. Les totaux se calculent automatiquement.</t>
  </si>
  <si>
    <t>6️⃣ STRUCTURE DES COÛTS (HORS RH)</t>
  </si>
  <si>
    <t>💡 Renseignez vos coûts fixes et variables hors ressources humaines.</t>
  </si>
  <si>
    <t>🧮 COÛTS VARIABLES (liés au volume d'activité)</t>
  </si>
  <si>
    <t>Poste de coût variable</t>
  </si>
  <si>
    <t>Intrants agricoles (semences, engrais)</t>
  </si>
  <si>
    <t>XOF/kg</t>
  </si>
  <si>
    <t>Transport / logistique</t>
  </si>
  <si>
    <t>XOF/tonne</t>
  </si>
  <si>
    <t>Emballage</t>
  </si>
  <si>
    <t>XOF/unité</t>
  </si>
  <si>
    <t>👇 VOS COÛTS VARIABLES</t>
  </si>
  <si>
    <t>🏢 COÛTS FIXES (indépendants du volume d'activité)</t>
  </si>
  <si>
    <t>Poste de coût fixe</t>
  </si>
  <si>
    <t>Périodicité</t>
  </si>
  <si>
    <t>Catégorie</t>
  </si>
  <si>
    <t>Justification</t>
  </si>
  <si>
    <t>Commentaires</t>
  </si>
  <si>
    <t>Loyer / Location</t>
  </si>
  <si>
    <t>Mensuel</t>
  </si>
  <si>
    <t>Locaux</t>
  </si>
  <si>
    <t>Bail 12 mois</t>
  </si>
  <si>
    <t>Exemple</t>
  </si>
  <si>
    <t>Électricité / eau / internet</t>
  </si>
  <si>
    <t>Utilities</t>
  </si>
  <si>
    <t>Factures moyennes</t>
  </si>
  <si>
    <t>Maintenance équipement</t>
  </si>
  <si>
    <t>Maintenance</t>
  </si>
  <si>
    <t>Contrat annuel</t>
  </si>
  <si>
    <t>Marketing &amp; Communication</t>
  </si>
  <si>
    <t>Marketing</t>
  </si>
  <si>
    <t>Budget mensuel</t>
  </si>
  <si>
    <t>👇 VOS COÛTS FIXES</t>
  </si>
  <si>
    <t>📊 SYNTHÈSE COÛTS (HORS RH)</t>
  </si>
  <si>
    <t>📊 COÛTS VARIABLES - SAISIE MENSUELLE 60 MOIS</t>
  </si>
  <si>
    <t>Achats Matières Premières</t>
  </si>
  <si>
    <t>Achats Intrants Agricoles</t>
  </si>
  <si>
    <t>Coûts Logistique Variable</t>
  </si>
  <si>
    <t>Commissions &amp; Frais Ventes</t>
  </si>
  <si>
    <t>Emballages &amp; Conditionnement</t>
  </si>
  <si>
    <t>Autres Coûts Variables</t>
  </si>
  <si>
    <t>🏢 COÛTS FIXES - SAISIE MENSUELLE 60 MOIS</t>
  </si>
  <si>
    <t>Loyer &amp; Charges Locatives</t>
  </si>
  <si>
    <t>Électricité &amp; Eau</t>
  </si>
  <si>
    <t>Télécommunications &amp; Internet</t>
  </si>
  <si>
    <t>Assurances</t>
  </si>
  <si>
    <t>Entretien &amp; Maintenance</t>
  </si>
  <si>
    <t>Frais Administratifs</t>
  </si>
  <si>
    <t>Autres Coûts Fixes</t>
  </si>
  <si>
    <t>6️⃣ BFR, INVESTISSEMENTS &amp; FINANCEMENT</t>
  </si>
  <si>
    <t>Toutes les informations financières clés en un seul endroit : trésorerie, BFR, investissements et sources de financement.</t>
  </si>
  <si>
    <t>💰 BFR &amp; TRÉSORERIE</t>
  </si>
  <si>
    <t>Délais de Paiement</t>
  </si>
  <si>
    <t>Délai Clients (DSO)</t>
  </si>
  <si>
    <t>jours</t>
  </si>
  <si>
    <t>(Optionnel)</t>
  </si>
  <si>
    <t>Délai Fournisseurs (DPO)</t>
  </si>
  <si>
    <t>Stock Moyen</t>
  </si>
  <si>
    <t>Trésorerie de Départ</t>
  </si>
  <si>
    <t>Montant en Caisse/Banque</t>
  </si>
  <si>
    <t>FCFA</t>
  </si>
  <si>
    <t>(Obligatoire)</t>
  </si>
  <si>
    <t>🏗️ INVESTISSEMENTS (CAPEX)</t>
  </si>
  <si>
    <t>Nature de l'Investissement</t>
  </si>
  <si>
    <t>Montant (FCFA)</t>
  </si>
  <si>
    <t>Année d'Achat</t>
  </si>
  <si>
    <t>Durée Amortissement (ans)</t>
  </si>
  <si>
    <t>Optionnel</t>
  </si>
  <si>
    <t>Ex: Matériel agricole</t>
  </si>
  <si>
    <t>✓</t>
  </si>
  <si>
    <t>Ex: Véhicule de transport</t>
  </si>
  <si>
    <t>Ex: Infrastructure/Bâtiment</t>
  </si>
  <si>
    <t>Investissement 1</t>
  </si>
  <si>
    <t>Investissement 2</t>
  </si>
  <si>
    <t>Investissement 3</t>
  </si>
  <si>
    <t>Investissement 4</t>
  </si>
  <si>
    <t>Investissement 5</t>
  </si>
  <si>
    <t>💵 SOURCES DE FINANCEMENT</t>
  </si>
  <si>
    <t>Apports en Capital</t>
  </si>
  <si>
    <t>Montant Total Apports</t>
  </si>
  <si>
    <t>Subventions &amp; Dons</t>
  </si>
  <si>
    <t>Montant Total Subventions</t>
  </si>
  <si>
    <t>Prêts &amp; Emprunts</t>
  </si>
  <si>
    <t>Source du Prêt</t>
  </si>
  <si>
    <t>Taux (%)</t>
  </si>
  <si>
    <t>Durée (mois)</t>
  </si>
  <si>
    <t>Différé (mois)</t>
  </si>
  <si>
    <t>Ex: Banque Agricole</t>
  </si>
  <si>
    <t>Ex: Microfinance</t>
  </si>
  <si>
    <t>Prêt 1</t>
  </si>
  <si>
    <t>Prêt 2</t>
  </si>
  <si>
    <t>Prêt 3</t>
  </si>
  <si>
    <t>Crédits Spécifiques</t>
  </si>
  <si>
    <t>Crédit Fournisseurs</t>
  </si>
  <si>
    <t>Crédit Bancaire</t>
  </si>
  <si>
    <t>💡 Conseil : Remplissez au minimum la trésorerie de départ et les apports en capital. Les autres champs sont optionnels mais recommandés pour une projection précise.</t>
  </si>
  <si>
    <t>5️⃣ HYPOTHÈSES DE CROISSANCE &amp; PROJECTIONS</t>
  </si>
  <si>
    <t>💡 Définissez vos objectifs de croissance pour les 5 prochaines années. Soyez réaliste !</t>
  </si>
  <si>
    <t>🎯 OBJECTIFS DE CHIFFRE D'AFFAIRES</t>
  </si>
  <si>
    <t>Année</t>
  </si>
  <si>
    <t>Objectif CA (XOF)</t>
  </si>
  <si>
    <t>Croissance vs N-1</t>
  </si>
  <si>
    <t>Exemple GOTCHE CA</t>
  </si>
  <si>
    <t>Exemple Croissance</t>
  </si>
  <si>
    <t>Année N+1 (2025)</t>
  </si>
  <si>
    <t>54 000 000</t>
  </si>
  <si>
    <t>+68.8%</t>
  </si>
  <si>
    <t>Année N+2 (2026)</t>
  </si>
  <si>
    <t>85 000 000</t>
  </si>
  <si>
    <t>+57.4%</t>
  </si>
  <si>
    <t>Année N+3 (2027)</t>
  </si>
  <si>
    <t>150 000 000</t>
  </si>
  <si>
    <t>+76.5%</t>
  </si>
  <si>
    <t>Année N+4 (2028)</t>
  </si>
  <si>
    <t>250 000 000</t>
  </si>
  <si>
    <t>+66.7%</t>
  </si>
  <si>
    <t>Année N+5 (2029)</t>
  </si>
  <si>
    <t>500 000 000</t>
  </si>
  <si>
    <t>+100.0%</t>
  </si>
  <si>
    <t>📊 HYPOTHÈSES GÉNÉRALES</t>
  </si>
  <si>
    <t>Taux de marge brute cible</t>
  </si>
  <si>
    <t>%</t>
  </si>
  <si>
    <t>40%</t>
  </si>
  <si>
    <t>Taux de marge opérationnelle cible</t>
  </si>
  <si>
    <t>20%</t>
  </si>
  <si>
    <t>Inflation annuelle prévue</t>
  </si>
  <si>
    <t>3%</t>
  </si>
  <si>
    <t>Augmentation prix moyen annuelle</t>
  </si>
  <si>
    <t>5%</t>
  </si>
  <si>
    <t>Croissance volumes annuelle</t>
  </si>
  <si>
    <t>30%</t>
  </si>
  <si>
    <t>Taux d'impôt sur les sociétés</t>
  </si>
  <si>
    <t>25%</t>
  </si>
  <si>
    <t>💵 REVENUS PRÉVISIONNELS - SAISIE MENSUELLE 60 MOIS</t>
  </si>
  <si>
    <t>CA Production Agricole</t>
  </si>
  <si>
    <t>CA Élevage</t>
  </si>
  <si>
    <t>CA Transformation</t>
  </si>
  <si>
    <t>CA Services</t>
  </si>
  <si>
    <t>Autres Revenus</t>
  </si>
  <si>
    <t>📊 INDICATEURS DE CROISSANCE - SAISIE MENSUELLE 60 MOIS</t>
  </si>
  <si>
    <t>Volume Ventes (unités/mois)</t>
  </si>
  <si>
    <t>Prix Moyen Unitaire (FCFA)</t>
  </si>
  <si>
    <t>Nombre Clients Actifs</t>
  </si>
  <si>
    <t>Taux Conversion (%)</t>
  </si>
  <si>
    <t>Taux Rétention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</si>
</sst>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&quot;%&quot;"/>
    <numFmt numFmtId="166" formatCode="0.0&quot;%&quot;"/>
  </numFmts>
  <fonts count="25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2.0"/>
      <color rgb="FFFFFFFF"/>
      <name val="Calibri"/>
    </font>
    <font>
      <sz val="10.0"/>
      <color theme="1"/>
      <name val="Calibri"/>
    </font>
    <font>
      <b/>
      <sz val="11.0"/>
      <color rgb="FFE74C3C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i/>
      <sz val="9.0"/>
      <color rgb="FF7F8C8D"/>
      <name val="Calibri"/>
    </font>
    <font>
      <i/>
      <sz val="11.0"/>
      <color rgb="FFE67E22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3.0"/>
      <color rgb="FFFFFFFF"/>
      <name val="Calibri"/>
    </font>
    <font>
      <i/>
      <sz val="9.0"/>
      <color theme="1"/>
      <name val="Calibri"/>
    </font>
    <font>
      <b/>
      <sz val="10.0"/>
      <color rgb="FFFFFFFF"/>
      <name val="Calibri"/>
    </font>
    <font>
      <b/>
      <sz val="9.0"/>
      <color theme="1"/>
      <name val="Calibri"/>
    </font>
    <font>
      <b/>
      <sz val="8.0"/>
      <color rgb="FFFFFFFF"/>
      <name val="Calibri"/>
    </font>
    <font>
      <sz val="9.0"/>
      <color theme="1"/>
      <name val="Calibri"/>
    </font>
    <font>
      <i/>
      <sz val="9.0"/>
      <color rgb="FFEF6C00"/>
      <name val="Calibri"/>
    </font>
    <font>
      <b/>
      <sz val="14.0"/>
      <color rgb="FFFFFFFF"/>
      <name val="Calibri"/>
    </font>
    <font>
      <i/>
      <sz val="9.0"/>
      <color rgb="FF999999"/>
      <name val="Calibri"/>
    </font>
    <font>
      <b/>
      <i/>
      <sz val="9.0"/>
      <color rgb="FFC62828"/>
      <name val="Calibri"/>
    </font>
    <font>
      <sz val="11.0"/>
      <color rgb="FF2E7D32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98DB"/>
        <bgColor rgb="FF3498DB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CF0F1"/>
        <bgColor rgb="FFECF0F1"/>
      </patternFill>
    </fill>
    <fill>
      <patternFill patternType="solid">
        <fgColor rgb="FFD6EAF8"/>
        <bgColor rgb="FFD6EAF8"/>
      </patternFill>
    </fill>
    <fill>
      <patternFill patternType="solid">
        <fgColor rgb="FF16A085"/>
        <bgColor rgb="FF16A085"/>
      </patternFill>
    </fill>
    <fill>
      <patternFill patternType="solid">
        <fgColor rgb="FF2E7D32"/>
        <bgColor rgb="FF2E7D32"/>
      </patternFill>
    </fill>
    <fill>
      <patternFill patternType="solid">
        <fgColor rgb="FF66BB6A"/>
        <bgColor rgb="FF66BB6A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FFF9C4"/>
        <bgColor rgb="FFFFF9C4"/>
      </patternFill>
    </fill>
    <fill>
      <patternFill patternType="solid">
        <fgColor rgb="FFFFD700"/>
        <bgColor rgb="FFFFD700"/>
      </patternFill>
    </fill>
    <fill>
      <patternFill patternType="solid">
        <fgColor rgb="FFFFF3E0"/>
        <bgColor rgb="FFFFF3E0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</border>
    <border>
      <left style="medium">
        <color rgb="FF3498DB"/>
      </left>
      <top style="medium">
        <color rgb="FF3498DB"/>
      </top>
    </border>
    <border>
      <top style="medium">
        <color rgb="FF3498DB"/>
      </top>
    </border>
    <border>
      <right style="medium">
        <color rgb="FF3498DB"/>
      </right>
      <top style="medium">
        <color rgb="FF3498DB"/>
      </top>
    </border>
    <border>
      <left style="medium">
        <color rgb="FF3498DB"/>
      </left>
    </border>
    <border>
      <right style="medium">
        <color rgb="FF3498DB"/>
      </right>
    </border>
    <border>
      <left style="medium">
        <color rgb="FF3498DB"/>
      </left>
      <bottom style="medium">
        <color rgb="FF3498DB"/>
      </bottom>
    </border>
    <border>
      <bottom style="medium">
        <color rgb="FF3498DB"/>
      </bottom>
    </border>
    <border>
      <right style="medium">
        <color rgb="FF3498DB"/>
      </right>
      <bottom style="medium">
        <color rgb="FF3498DB"/>
      </bottom>
    </border>
    <border>
      <left style="medium">
        <color rgb="FF3498DB"/>
      </left>
      <right style="thin">
        <color rgb="FF000000"/>
      </right>
      <top style="medium">
        <color rgb="FF3498DB"/>
      </top>
      <bottom style="medium">
        <color rgb="FF3498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4" fillId="3" fontId="8" numFmtId="0" xfId="0" applyBorder="1" applyFont="1"/>
    <xf borderId="0" fillId="0" fontId="7" numFmtId="0" xfId="0" applyFont="1"/>
    <xf borderId="5" fillId="4" fontId="7" numFmtId="0" xfId="0" applyBorder="1" applyFill="1" applyFont="1"/>
    <xf borderId="4" fillId="5" fontId="7" numFmtId="0" xfId="0" applyBorder="1" applyFill="1" applyFont="1"/>
    <xf borderId="4" fillId="6" fontId="7" numFmtId="0" xfId="0" applyBorder="1" applyFill="1" applyFont="1"/>
    <xf borderId="4" fillId="7" fontId="9" numFmtId="0" xfId="0" applyAlignment="1" applyBorder="1" applyFill="1" applyFont="1">
      <alignment horizontal="left" shrinkToFit="0" vertical="center" wrapText="1"/>
    </xf>
    <xf borderId="6" fillId="8" fontId="7" numFmtId="0" xfId="0" applyBorder="1" applyFill="1" applyFont="1"/>
    <xf borderId="0" fillId="0" fontId="10" numFmtId="0" xfId="0" applyAlignment="1" applyFont="1">
      <alignment horizontal="left" shrinkToFit="0" vertical="center" wrapText="1"/>
    </xf>
    <xf borderId="6" fillId="0" fontId="7" numFmtId="0" xfId="0" applyBorder="1" applyFont="1"/>
    <xf borderId="1" fillId="7" fontId="9" numFmtId="0" xfId="0" applyAlignment="1" applyBorder="1" applyFont="1">
      <alignment horizontal="left" shrinkToFit="0" vertical="center" wrapText="1"/>
    </xf>
    <xf borderId="7" fillId="8" fontId="7" numFmtId="0" xfId="0" applyAlignment="1" applyBorder="1" applyFont="1">
      <alignment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6" fontId="11" numFmtId="0" xfId="0" applyBorder="1" applyFont="1"/>
    <xf borderId="4" fillId="3" fontId="3" numFmtId="0" xfId="0" applyAlignment="1" applyBorder="1" applyFont="1">
      <alignment horizontal="left" vertical="center"/>
    </xf>
    <xf borderId="1" fillId="9" fontId="3" numFmtId="0" xfId="0" applyAlignment="1" applyBorder="1" applyFill="1" applyFont="1">
      <alignment horizontal="left" vertical="center"/>
    </xf>
    <xf borderId="0" fillId="0" fontId="12" numFmtId="0" xfId="0" applyFont="1"/>
    <xf borderId="6" fillId="8" fontId="7" numFmtId="3" xfId="0" applyBorder="1" applyFont="1" applyNumberFormat="1"/>
    <xf borderId="0" fillId="0" fontId="10" numFmtId="3" xfId="0" applyAlignment="1" applyFont="1" applyNumberFormat="1">
      <alignment horizontal="left" shrinkToFit="0" vertical="center" wrapText="1"/>
    </xf>
    <xf borderId="0" fillId="0" fontId="10" numFmtId="164" xfId="0" applyAlignment="1" applyFont="1" applyNumberFormat="1">
      <alignment horizontal="left" shrinkToFit="0" vertical="center" wrapText="1"/>
    </xf>
    <xf borderId="4" fillId="5" fontId="7" numFmtId="164" xfId="0" applyBorder="1" applyFont="1" applyNumberFormat="1"/>
    <xf borderId="0" fillId="0" fontId="1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10" numFmtId="165" xfId="0" applyAlignment="1" applyFont="1" applyNumberFormat="1">
      <alignment horizontal="left" shrinkToFit="0" vertical="center" wrapText="1"/>
    </xf>
    <xf borderId="15" fillId="8" fontId="7" numFmtId="0" xfId="0" applyBorder="1" applyFont="1"/>
    <xf borderId="0" fillId="0" fontId="7" numFmtId="3" xfId="0" applyFont="1" applyNumberFormat="1"/>
    <xf borderId="0" fillId="0" fontId="7" numFmtId="165" xfId="0" applyFont="1" applyNumberFormat="1"/>
    <xf borderId="0" fillId="0" fontId="13" numFmtId="0" xfId="0" applyFont="1"/>
    <xf borderId="0" fillId="0" fontId="8" numFmtId="3" xfId="0" applyFont="1" applyNumberFormat="1"/>
    <xf borderId="1" fillId="10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16" fillId="11" fontId="16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5" fillId="12" fontId="17" numFmtId="0" xfId="0" applyAlignment="1" applyBorder="1" applyFill="1" applyFont="1">
      <alignment horizontal="center" shrinkToFit="0" vertical="center" wrapText="1"/>
    </xf>
    <xf borderId="5" fillId="13" fontId="18" numFmtId="0" xfId="0" applyAlignment="1" applyBorder="1" applyFill="1" applyFont="1">
      <alignment horizontal="center" shrinkToFit="0" vertical="center" wrapText="1"/>
    </xf>
    <xf borderId="5" fillId="14" fontId="17" numFmtId="0" xfId="0" applyAlignment="1" applyBorder="1" applyFill="1" applyFont="1">
      <alignment horizontal="center" shrinkToFit="0" vertical="center" wrapText="1"/>
    </xf>
    <xf borderId="5" fillId="12" fontId="19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14" fontId="17" numFmtId="3" xfId="0" applyAlignment="1" applyBorder="1" applyFont="1" applyNumberFormat="1">
      <alignment horizontal="center" shrinkToFit="0" vertical="center" wrapText="1"/>
    </xf>
    <xf borderId="5" fillId="14" fontId="9" numFmtId="0" xfId="0" applyAlignment="1" applyBorder="1" applyFont="1">
      <alignment horizontal="center" shrinkToFit="0" vertical="center" wrapText="1"/>
    </xf>
    <xf borderId="5" fillId="15" fontId="9" numFmtId="3" xfId="0" applyAlignment="1" applyBorder="1" applyFill="1" applyFont="1" applyNumberFormat="1">
      <alignment horizontal="center" shrinkToFit="0" vertical="center" wrapText="1"/>
    </xf>
    <xf borderId="1" fillId="16" fontId="20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0" numFmtId="0" xfId="0" applyFont="1"/>
    <xf borderId="0" fillId="0" fontId="10" numFmtId="3" xfId="0" applyFont="1" applyNumberFormat="1"/>
    <xf borderId="15" fillId="8" fontId="7" numFmtId="3" xfId="0" applyBorder="1" applyFont="1" applyNumberFormat="1"/>
    <xf borderId="1" fillId="17" fontId="3" numFmtId="0" xfId="0" applyAlignment="1" applyBorder="1" applyFill="1" applyFont="1">
      <alignment horizontal="left" vertical="center"/>
    </xf>
    <xf borderId="6" fillId="5" fontId="7" numFmtId="3" xfId="0" applyBorder="1" applyFont="1" applyNumberFormat="1"/>
    <xf borderId="4" fillId="3" fontId="8" numFmtId="3" xfId="0" applyBorder="1" applyFont="1" applyNumberFormat="1"/>
    <xf borderId="1" fillId="18" fontId="3" numFmtId="0" xfId="0" applyAlignment="1" applyBorder="1" applyFill="1" applyFont="1">
      <alignment horizontal="left" vertical="center"/>
    </xf>
    <xf borderId="1" fillId="10" fontId="2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shrinkToFit="0" vertical="center" wrapText="1"/>
    </xf>
    <xf borderId="4" fillId="12" fontId="6" numFmtId="0" xfId="0" applyBorder="1" applyFont="1"/>
    <xf borderId="5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2" numFmtId="0" xfId="0" applyFont="1"/>
    <xf borderId="0" fillId="0" fontId="23" numFmtId="0" xfId="0" applyFont="1"/>
    <xf borderId="5" fillId="12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shrinkToFit="0" vertical="center" wrapText="1"/>
    </xf>
    <xf borderId="4" fillId="5" fontId="7" numFmtId="166" xfId="0" applyBorder="1" applyFont="1" applyNumberFormat="1"/>
    <xf borderId="6" fillId="8" fontId="7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5.0"/>
    <col customWidth="1" min="4" max="4" width="40.0"/>
    <col customWidth="1" min="5" max="6" width="15.0"/>
    <col customWidth="1" min="7" max="26" width="8.86"/>
  </cols>
  <sheetData>
    <row r="1" ht="39.75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2"/>
      <c r="C3" s="2"/>
      <c r="D3" s="2"/>
      <c r="E3" s="2"/>
      <c r="F3" s="3"/>
    </row>
    <row r="5">
      <c r="A5" s="5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5" t="s">
        <v>7</v>
      </c>
    </row>
    <row r="13">
      <c r="A13" s="4" t="s">
        <v>8</v>
      </c>
      <c r="B13" s="2"/>
      <c r="C13" s="2"/>
      <c r="D13" s="2"/>
      <c r="E13" s="2"/>
      <c r="F13" s="3"/>
    </row>
    <row r="15">
      <c r="A15" s="6" t="s">
        <v>9</v>
      </c>
      <c r="B15" s="7" t="s">
        <v>10</v>
      </c>
      <c r="D15" s="8" t="s">
        <v>11</v>
      </c>
    </row>
    <row r="16">
      <c r="A16" s="6" t="s">
        <v>12</v>
      </c>
      <c r="B16" s="7" t="s">
        <v>13</v>
      </c>
      <c r="D16" s="8" t="s">
        <v>14</v>
      </c>
    </row>
    <row r="17">
      <c r="A17" s="6" t="s">
        <v>15</v>
      </c>
      <c r="B17" s="7" t="s">
        <v>16</v>
      </c>
      <c r="D17" s="8" t="s">
        <v>17</v>
      </c>
    </row>
    <row r="18">
      <c r="A18" s="6" t="s">
        <v>18</v>
      </c>
      <c r="B18" s="7" t="s">
        <v>19</v>
      </c>
      <c r="D18" s="8" t="s">
        <v>20</v>
      </c>
    </row>
    <row r="19">
      <c r="A19" s="6" t="s">
        <v>21</v>
      </c>
      <c r="B19" s="7" t="s">
        <v>22</v>
      </c>
      <c r="D19" s="8" t="s">
        <v>23</v>
      </c>
    </row>
    <row r="20">
      <c r="A20" s="6" t="s">
        <v>24</v>
      </c>
      <c r="B20" s="7" t="s">
        <v>25</v>
      </c>
      <c r="D20" s="8" t="s">
        <v>26</v>
      </c>
    </row>
    <row r="21" ht="15.75" customHeight="1">
      <c r="A21" s="6" t="s">
        <v>27</v>
      </c>
      <c r="B21" s="7" t="s">
        <v>28</v>
      </c>
      <c r="D21" s="8" t="s">
        <v>29</v>
      </c>
    </row>
    <row r="22" ht="15.75" customHeight="1">
      <c r="A22" s="6" t="s">
        <v>30</v>
      </c>
      <c r="B22" s="7" t="s">
        <v>31</v>
      </c>
      <c r="D22" s="8" t="s">
        <v>32</v>
      </c>
    </row>
    <row r="23" ht="15.75" customHeight="1"/>
    <row r="24" ht="15.75" customHeight="1"/>
    <row r="25" ht="15.75" customHeight="1">
      <c r="A25" s="4" t="s">
        <v>33</v>
      </c>
      <c r="B25" s="2"/>
      <c r="C25" s="2"/>
      <c r="D25" s="2"/>
      <c r="E25" s="2"/>
      <c r="F25" s="3"/>
    </row>
    <row r="26" ht="15.75" customHeight="1"/>
    <row r="27" ht="15.75" customHeight="1">
      <c r="A27" s="5" t="s">
        <v>34</v>
      </c>
    </row>
    <row r="28" ht="15.75" customHeight="1">
      <c r="A28" s="5" t="s">
        <v>35</v>
      </c>
    </row>
    <row r="29" ht="15.75" customHeight="1">
      <c r="A29" s="5" t="s">
        <v>36</v>
      </c>
    </row>
    <row r="30" ht="15.75" customHeight="1">
      <c r="A30" s="5" t="s">
        <v>37</v>
      </c>
    </row>
    <row r="31" ht="15.75" customHeight="1">
      <c r="A31" s="5" t="s">
        <v>38</v>
      </c>
    </row>
    <row r="32" ht="15.75" customHeight="1">
      <c r="A32" s="5" t="s">
        <v>39</v>
      </c>
    </row>
    <row r="33" ht="15.75" customHeight="1"/>
    <row r="34" ht="15.75" customHeight="1"/>
    <row r="35" ht="15.75" customHeight="1">
      <c r="A35" s="4" t="s">
        <v>40</v>
      </c>
      <c r="B35" s="2"/>
      <c r="C35" s="2"/>
      <c r="D35" s="2"/>
      <c r="E35" s="2"/>
      <c r="F35" s="3"/>
    </row>
    <row r="36" ht="15.75" customHeight="1"/>
    <row r="37" ht="15.75" customHeight="1">
      <c r="A37" s="9" t="s">
        <v>41</v>
      </c>
      <c r="B37" s="10" t="s">
        <v>42</v>
      </c>
    </row>
    <row r="38" ht="15.75" customHeight="1">
      <c r="A38" s="11" t="s">
        <v>43</v>
      </c>
      <c r="B38" s="10" t="s">
        <v>44</v>
      </c>
    </row>
    <row r="39" ht="15.75" customHeight="1">
      <c r="A39" s="12" t="s">
        <v>45</v>
      </c>
      <c r="B39" s="10" t="s">
        <v>46</v>
      </c>
    </row>
    <row r="40" ht="15.75" customHeight="1">
      <c r="A40" s="13" t="s">
        <v>47</v>
      </c>
      <c r="B40" s="10" t="s">
        <v>48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A3:F3"/>
    <mergeCell ref="A5:F5"/>
    <mergeCell ref="A6:F6"/>
    <mergeCell ref="A7:F7"/>
    <mergeCell ref="A8:F8"/>
    <mergeCell ref="A9:F9"/>
    <mergeCell ref="B17:C17"/>
    <mergeCell ref="B18:C18"/>
    <mergeCell ref="B19:C19"/>
    <mergeCell ref="B20:C20"/>
    <mergeCell ref="B21:C21"/>
    <mergeCell ref="B22:C22"/>
    <mergeCell ref="A10:F10"/>
    <mergeCell ref="A13:F13"/>
    <mergeCell ref="B15:C15"/>
    <mergeCell ref="D15:F15"/>
    <mergeCell ref="B16:C16"/>
    <mergeCell ref="D16:F16"/>
    <mergeCell ref="D17:F17"/>
    <mergeCell ref="D18:F18"/>
    <mergeCell ref="D19:F19"/>
    <mergeCell ref="D20:F20"/>
    <mergeCell ref="D21:F21"/>
    <mergeCell ref="D22:F22"/>
    <mergeCell ref="A25:F25"/>
    <mergeCell ref="A27:F27"/>
    <mergeCell ref="B38:F38"/>
    <mergeCell ref="B39:F39"/>
    <mergeCell ref="B40:F40"/>
    <mergeCell ref="A28:F28"/>
    <mergeCell ref="A29:F29"/>
    <mergeCell ref="A30:F30"/>
    <mergeCell ref="A31:F31"/>
    <mergeCell ref="A32:F32"/>
    <mergeCell ref="A35:F35"/>
    <mergeCell ref="B37:F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3" width="15.0"/>
    <col customWidth="1" min="4" max="4" width="25.0"/>
    <col customWidth="1" min="5" max="5" width="15.0"/>
    <col customWidth="1" min="6" max="26" width="8.86"/>
  </cols>
  <sheetData>
    <row r="1" ht="30.0" customHeight="1">
      <c r="A1" s="1" t="s">
        <v>49</v>
      </c>
      <c r="B1" s="2"/>
      <c r="C1" s="2"/>
      <c r="D1" s="2"/>
      <c r="E1" s="3"/>
    </row>
    <row r="3">
      <c r="A3" s="4" t="s">
        <v>50</v>
      </c>
      <c r="B3" s="2"/>
      <c r="C3" s="2"/>
      <c r="D3" s="2"/>
      <c r="E3" s="3"/>
    </row>
    <row r="5">
      <c r="A5" s="14" t="s">
        <v>51</v>
      </c>
      <c r="B5" s="15"/>
      <c r="C5" s="16" t="s">
        <v>52</v>
      </c>
    </row>
    <row r="6">
      <c r="A6" s="14" t="s">
        <v>53</v>
      </c>
      <c r="B6" s="17"/>
      <c r="C6" s="16" t="s">
        <v>54</v>
      </c>
    </row>
    <row r="7">
      <c r="A7" s="14" t="s">
        <v>55</v>
      </c>
      <c r="B7" s="15"/>
      <c r="C7" s="16" t="s">
        <v>56</v>
      </c>
    </row>
    <row r="8">
      <c r="A8" s="14" t="s">
        <v>57</v>
      </c>
      <c r="B8" s="17"/>
      <c r="C8" s="16" t="s">
        <v>58</v>
      </c>
    </row>
    <row r="9">
      <c r="A9" s="14" t="s">
        <v>59</v>
      </c>
      <c r="B9" s="15"/>
      <c r="C9" s="16" t="s">
        <v>60</v>
      </c>
    </row>
    <row r="10">
      <c r="A10" s="14" t="s">
        <v>61</v>
      </c>
      <c r="B10" s="17"/>
      <c r="C10" s="16" t="s">
        <v>62</v>
      </c>
    </row>
    <row r="11">
      <c r="A11" s="14" t="s">
        <v>63</v>
      </c>
      <c r="B11" s="17"/>
      <c r="C11" s="16" t="s">
        <v>64</v>
      </c>
    </row>
    <row r="14">
      <c r="A14" s="4" t="s">
        <v>65</v>
      </c>
      <c r="B14" s="2"/>
      <c r="C14" s="2"/>
      <c r="D14" s="2"/>
      <c r="E14" s="3"/>
    </row>
    <row r="16">
      <c r="A16" s="14" t="s">
        <v>66</v>
      </c>
      <c r="B16" s="15"/>
      <c r="C16" s="16" t="s">
        <v>67</v>
      </c>
    </row>
    <row r="17">
      <c r="A17" s="14" t="s">
        <v>68</v>
      </c>
      <c r="B17" s="17"/>
      <c r="C17" s="16" t="s">
        <v>69</v>
      </c>
    </row>
    <row r="18">
      <c r="A18" s="14" t="s">
        <v>70</v>
      </c>
      <c r="B18" s="15"/>
      <c r="C18" s="16" t="s">
        <v>71</v>
      </c>
    </row>
    <row r="19">
      <c r="A19" s="14" t="s">
        <v>72</v>
      </c>
      <c r="B19" s="15"/>
      <c r="C19" s="16" t="s">
        <v>73</v>
      </c>
    </row>
    <row r="21" ht="15.75" customHeight="1"/>
    <row r="22" ht="15.75" customHeight="1">
      <c r="A22" s="4" t="s">
        <v>74</v>
      </c>
      <c r="B22" s="2"/>
      <c r="C22" s="2"/>
      <c r="D22" s="2"/>
      <c r="E22" s="3"/>
    </row>
    <row r="23" ht="15.75" customHeight="1"/>
    <row r="24" ht="15.75" customHeight="1">
      <c r="A24" s="14" t="s">
        <v>75</v>
      </c>
      <c r="B24" s="15"/>
      <c r="C24" s="16" t="s">
        <v>76</v>
      </c>
    </row>
    <row r="25" ht="15.75" customHeight="1">
      <c r="A25" s="14" t="s">
        <v>77</v>
      </c>
      <c r="B25" s="17"/>
      <c r="C25" s="16" t="s">
        <v>78</v>
      </c>
    </row>
    <row r="26" ht="15.75" customHeight="1">
      <c r="A26" s="14" t="s">
        <v>79</v>
      </c>
      <c r="B26" s="17"/>
      <c r="C26" s="16" t="s">
        <v>80</v>
      </c>
    </row>
    <row r="27" ht="15.75" customHeight="1">
      <c r="A27" s="14" t="s">
        <v>81</v>
      </c>
      <c r="B27" s="17"/>
      <c r="C27" s="16" t="s">
        <v>82</v>
      </c>
    </row>
    <row r="28" ht="15.75" customHeight="1"/>
    <row r="29" ht="15.75" customHeight="1"/>
    <row r="30" ht="15.75" customHeight="1">
      <c r="A30" s="4" t="s">
        <v>83</v>
      </c>
      <c r="B30" s="2"/>
      <c r="C30" s="2"/>
      <c r="D30" s="2"/>
      <c r="E30" s="3"/>
    </row>
    <row r="31" ht="15.75" customHeight="1"/>
    <row r="32" ht="15.75" customHeight="1">
      <c r="A32" s="18" t="s">
        <v>84</v>
      </c>
      <c r="B32" s="2"/>
      <c r="C32" s="2"/>
      <c r="D32" s="2"/>
      <c r="E32" s="3"/>
    </row>
    <row r="33" ht="30.0" customHeight="1">
      <c r="A33" s="16" t="s">
        <v>85</v>
      </c>
    </row>
    <row r="34" ht="60.0" customHeight="1">
      <c r="A34" s="19"/>
      <c r="B34" s="20"/>
      <c r="C34" s="20"/>
      <c r="D34" s="20"/>
      <c r="E34" s="21"/>
    </row>
    <row r="35" ht="15.75" customHeight="1">
      <c r="A35" s="22"/>
      <c r="E35" s="23"/>
    </row>
    <row r="36" ht="15.75" customHeight="1">
      <c r="A36" s="24"/>
      <c r="B36" s="25"/>
      <c r="C36" s="25"/>
      <c r="D36" s="25"/>
      <c r="E36" s="2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E1"/>
    <mergeCell ref="A3:E3"/>
    <mergeCell ref="C5:E5"/>
    <mergeCell ref="C6:E6"/>
    <mergeCell ref="C7:E7"/>
    <mergeCell ref="C8:E8"/>
    <mergeCell ref="C9:E9"/>
    <mergeCell ref="C10:E10"/>
    <mergeCell ref="C11:E11"/>
    <mergeCell ref="A14:E14"/>
    <mergeCell ref="C16:E16"/>
    <mergeCell ref="C17:E17"/>
    <mergeCell ref="C18:E18"/>
    <mergeCell ref="C19:E19"/>
    <mergeCell ref="A33:E33"/>
    <mergeCell ref="A34:E36"/>
    <mergeCell ref="A22:E22"/>
    <mergeCell ref="C24:E24"/>
    <mergeCell ref="C25:E25"/>
    <mergeCell ref="C26:E26"/>
    <mergeCell ref="C27:E27"/>
    <mergeCell ref="A30:E30"/>
    <mergeCell ref="A32:E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8" width="18.0"/>
    <col customWidth="1" min="9" max="26" width="8.86"/>
  </cols>
  <sheetData>
    <row r="1" ht="30.0" customHeight="1">
      <c r="A1" s="1" t="s">
        <v>86</v>
      </c>
      <c r="B1" s="2"/>
      <c r="C1" s="2"/>
      <c r="D1" s="2"/>
      <c r="E1" s="2"/>
      <c r="F1" s="2"/>
      <c r="G1" s="2"/>
      <c r="H1" s="3"/>
    </row>
    <row r="3" ht="24.75" customHeight="1">
      <c r="A3" s="27" t="s">
        <v>87</v>
      </c>
      <c r="B3" s="2"/>
      <c r="C3" s="2"/>
      <c r="D3" s="2"/>
      <c r="E3" s="2"/>
      <c r="F3" s="2"/>
      <c r="G3" s="2"/>
      <c r="H3" s="3"/>
    </row>
    <row r="5">
      <c r="A5" s="28" t="s">
        <v>88</v>
      </c>
      <c r="B5" s="28" t="s">
        <v>89</v>
      </c>
      <c r="C5" s="28" t="s">
        <v>90</v>
      </c>
      <c r="D5" s="28" t="s">
        <v>91</v>
      </c>
      <c r="E5" s="28" t="s">
        <v>92</v>
      </c>
      <c r="F5" s="28" t="s">
        <v>93</v>
      </c>
      <c r="G5" s="28" t="s">
        <v>94</v>
      </c>
      <c r="H5" s="28" t="s">
        <v>95</v>
      </c>
    </row>
    <row r="6">
      <c r="A6" s="29" t="s">
        <v>96</v>
      </c>
      <c r="B6" s="2"/>
      <c r="C6" s="2"/>
      <c r="D6" s="2"/>
      <c r="E6" s="2"/>
      <c r="F6" s="2"/>
      <c r="G6" s="2"/>
      <c r="H6" s="3"/>
    </row>
    <row r="7">
      <c r="A7" s="14" t="s">
        <v>97</v>
      </c>
      <c r="B7" s="30" t="s">
        <v>98</v>
      </c>
      <c r="C7" s="31"/>
      <c r="D7" s="31"/>
      <c r="E7" s="31"/>
      <c r="F7" s="32" t="s">
        <v>99</v>
      </c>
      <c r="G7" s="32" t="s">
        <v>100</v>
      </c>
      <c r="H7" s="32" t="s">
        <v>101</v>
      </c>
    </row>
    <row r="8">
      <c r="A8" s="14" t="s">
        <v>102</v>
      </c>
      <c r="B8" s="30" t="s">
        <v>98</v>
      </c>
      <c r="C8" s="31"/>
      <c r="D8" s="31"/>
      <c r="E8" s="31"/>
      <c r="F8" s="32" t="s">
        <v>103</v>
      </c>
      <c r="G8" s="32" t="s">
        <v>104</v>
      </c>
      <c r="H8" s="32" t="s">
        <v>105</v>
      </c>
    </row>
    <row r="9">
      <c r="A9" s="14" t="s">
        <v>106</v>
      </c>
      <c r="B9" s="30" t="s">
        <v>98</v>
      </c>
      <c r="C9" s="31"/>
      <c r="D9" s="31"/>
      <c r="E9" s="31"/>
      <c r="F9" s="32" t="s">
        <v>107</v>
      </c>
      <c r="G9" s="32" t="s">
        <v>108</v>
      </c>
      <c r="H9" s="32" t="s">
        <v>109</v>
      </c>
    </row>
    <row r="10">
      <c r="A10" s="14" t="s">
        <v>110</v>
      </c>
      <c r="B10" s="30" t="s">
        <v>98</v>
      </c>
      <c r="C10" s="31"/>
      <c r="D10" s="31"/>
      <c r="E10" s="31"/>
      <c r="F10" s="32" t="s">
        <v>111</v>
      </c>
      <c r="G10" s="32" t="s">
        <v>112</v>
      </c>
      <c r="H10" s="32" t="s">
        <v>103</v>
      </c>
    </row>
    <row r="12">
      <c r="A12" s="29" t="s">
        <v>113</v>
      </c>
      <c r="B12" s="2"/>
      <c r="C12" s="2"/>
      <c r="D12" s="2"/>
      <c r="E12" s="2"/>
      <c r="F12" s="2"/>
      <c r="G12" s="2"/>
      <c r="H12" s="3"/>
    </row>
    <row r="13">
      <c r="A13" s="14" t="s">
        <v>114</v>
      </c>
      <c r="B13" s="30" t="s">
        <v>98</v>
      </c>
      <c r="C13" s="31"/>
      <c r="D13" s="31"/>
      <c r="E13" s="31"/>
      <c r="F13" s="32" t="s">
        <v>115</v>
      </c>
      <c r="G13" s="32" t="s">
        <v>104</v>
      </c>
      <c r="H13" s="32" t="s">
        <v>116</v>
      </c>
    </row>
    <row r="14">
      <c r="A14" s="14" t="s">
        <v>117</v>
      </c>
      <c r="B14" s="30" t="s">
        <v>98</v>
      </c>
      <c r="C14" s="31"/>
      <c r="D14" s="31"/>
      <c r="E14" s="31"/>
      <c r="F14" s="32" t="s">
        <v>118</v>
      </c>
      <c r="G14" s="32" t="s">
        <v>119</v>
      </c>
      <c r="H14" s="32" t="s">
        <v>120</v>
      </c>
    </row>
    <row r="15">
      <c r="A15" s="14" t="s">
        <v>121</v>
      </c>
      <c r="B15" s="30" t="s">
        <v>98</v>
      </c>
      <c r="C15" s="31"/>
      <c r="D15" s="31"/>
      <c r="E15" s="31"/>
      <c r="F15" s="32" t="s">
        <v>122</v>
      </c>
      <c r="G15" s="32" t="s">
        <v>123</v>
      </c>
      <c r="H15" s="32" t="s">
        <v>103</v>
      </c>
    </row>
    <row r="16">
      <c r="A16" s="14" t="s">
        <v>124</v>
      </c>
      <c r="B16" s="30" t="s">
        <v>98</v>
      </c>
      <c r="C16" s="31"/>
      <c r="D16" s="31"/>
      <c r="E16" s="31"/>
      <c r="F16" s="32" t="s">
        <v>125</v>
      </c>
      <c r="G16" s="32" t="s">
        <v>126</v>
      </c>
      <c r="H16" s="32" t="s">
        <v>127</v>
      </c>
    </row>
    <row r="17">
      <c r="A17" s="14" t="s">
        <v>128</v>
      </c>
      <c r="B17" s="30" t="s">
        <v>98</v>
      </c>
      <c r="C17" s="31"/>
      <c r="D17" s="31"/>
      <c r="E17" s="31"/>
      <c r="F17" s="32" t="s">
        <v>126</v>
      </c>
      <c r="G17" s="32" t="s">
        <v>129</v>
      </c>
      <c r="H17" s="32" t="s">
        <v>122</v>
      </c>
    </row>
    <row r="19">
      <c r="A19" s="29" t="s">
        <v>130</v>
      </c>
      <c r="B19" s="2"/>
      <c r="C19" s="2"/>
      <c r="D19" s="2"/>
      <c r="E19" s="2"/>
      <c r="F19" s="2"/>
      <c r="G19" s="2"/>
      <c r="H19" s="3"/>
    </row>
    <row r="20">
      <c r="A20" s="14" t="s">
        <v>131</v>
      </c>
      <c r="B20" s="30" t="s">
        <v>98</v>
      </c>
      <c r="C20" s="31"/>
      <c r="D20" s="31"/>
      <c r="E20" s="31"/>
      <c r="F20" s="32" t="s">
        <v>126</v>
      </c>
      <c r="G20" s="32" t="s">
        <v>111</v>
      </c>
      <c r="H20" s="32" t="s">
        <v>132</v>
      </c>
    </row>
    <row r="21" ht="15.75" customHeight="1">
      <c r="A21" s="14" t="s">
        <v>133</v>
      </c>
      <c r="B21" s="30" t="s">
        <v>98</v>
      </c>
      <c r="C21" s="31"/>
      <c r="D21" s="31"/>
      <c r="E21" s="31"/>
      <c r="F21" s="32" t="s">
        <v>134</v>
      </c>
      <c r="G21" s="32" t="s">
        <v>127</v>
      </c>
      <c r="H21" s="32" t="s">
        <v>135</v>
      </c>
    </row>
    <row r="22" ht="15.75" customHeight="1"/>
    <row r="23" ht="15.75" customHeight="1">
      <c r="A23" s="29" t="s">
        <v>136</v>
      </c>
      <c r="B23" s="2"/>
      <c r="C23" s="2"/>
      <c r="D23" s="2"/>
      <c r="E23" s="2"/>
      <c r="F23" s="2"/>
      <c r="G23" s="2"/>
      <c r="H23" s="3"/>
    </row>
    <row r="24" ht="15.75" customHeight="1">
      <c r="A24" s="14" t="s">
        <v>137</v>
      </c>
      <c r="B24" s="30" t="s">
        <v>89</v>
      </c>
      <c r="C24" s="31"/>
      <c r="D24" s="31"/>
      <c r="E24" s="31"/>
      <c r="F24" s="32" t="s">
        <v>138</v>
      </c>
      <c r="G24" s="32" t="s">
        <v>139</v>
      </c>
      <c r="H24" s="32" t="s">
        <v>140</v>
      </c>
    </row>
    <row r="25" ht="15.75" customHeight="1">
      <c r="A25" s="14" t="s">
        <v>141</v>
      </c>
      <c r="B25" s="30" t="s">
        <v>89</v>
      </c>
      <c r="C25" s="31"/>
      <c r="D25" s="31"/>
      <c r="E25" s="31"/>
      <c r="F25" s="32" t="s">
        <v>142</v>
      </c>
      <c r="G25" s="32" t="s">
        <v>143</v>
      </c>
      <c r="H25" s="32" t="s">
        <v>144</v>
      </c>
    </row>
    <row r="26" ht="15.75" customHeight="1">
      <c r="A26" s="14" t="s">
        <v>145</v>
      </c>
      <c r="B26" s="30" t="s">
        <v>98</v>
      </c>
      <c r="C26" s="31"/>
      <c r="D26" s="31"/>
      <c r="E26" s="31"/>
      <c r="F26" s="32" t="s">
        <v>146</v>
      </c>
      <c r="G26" s="32" t="s">
        <v>112</v>
      </c>
      <c r="H26" s="32" t="s">
        <v>147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3"/>
    <mergeCell ref="A6:H6"/>
    <mergeCell ref="A12:H12"/>
    <mergeCell ref="A19:H19"/>
    <mergeCell ref="A23:H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3" width="12.0"/>
    <col customWidth="1" min="4" max="4" width="15.0"/>
    <col customWidth="1" min="5" max="5" width="12.0"/>
    <col customWidth="1" min="6" max="6" width="15.0"/>
    <col customWidth="1" min="7" max="7" width="12.0"/>
    <col customWidth="1" min="8" max="26" width="8.86"/>
  </cols>
  <sheetData>
    <row r="1" ht="30.0" customHeight="1">
      <c r="A1" s="1" t="s">
        <v>148</v>
      </c>
      <c r="B1" s="2"/>
      <c r="C1" s="2"/>
      <c r="D1" s="2"/>
      <c r="E1" s="2"/>
      <c r="F1" s="2"/>
      <c r="G1" s="3"/>
    </row>
    <row r="3">
      <c r="A3" s="27" t="s">
        <v>149</v>
      </c>
      <c r="B3" s="2"/>
      <c r="C3" s="2"/>
      <c r="D3" s="2"/>
      <c r="E3" s="2"/>
      <c r="F3" s="2"/>
      <c r="G3" s="3"/>
    </row>
    <row r="5">
      <c r="A5" s="28" t="s">
        <v>150</v>
      </c>
      <c r="B5" s="28" t="s">
        <v>151</v>
      </c>
      <c r="C5" s="28" t="s">
        <v>152</v>
      </c>
      <c r="D5" s="28" t="s">
        <v>153</v>
      </c>
      <c r="E5" s="28" t="s">
        <v>89</v>
      </c>
      <c r="F5" s="28" t="s">
        <v>154</v>
      </c>
      <c r="G5" s="28" t="s">
        <v>155</v>
      </c>
    </row>
    <row r="6">
      <c r="A6" s="16">
        <v>1.0</v>
      </c>
      <c r="B6" s="16" t="s">
        <v>156</v>
      </c>
      <c r="C6" s="16" t="s">
        <v>157</v>
      </c>
      <c r="D6" s="32">
        <v>150.0</v>
      </c>
      <c r="E6" s="16" t="s">
        <v>158</v>
      </c>
      <c r="F6" s="32">
        <v>90.0</v>
      </c>
      <c r="G6" s="33">
        <f t="shared" ref="G6:G10" si="1">((D7-F7)/D7)*100</f>
        <v>40</v>
      </c>
    </row>
    <row r="7">
      <c r="A7" s="16">
        <v>2.0</v>
      </c>
      <c r="B7" s="16" t="s">
        <v>159</v>
      </c>
      <c r="C7" s="16" t="s">
        <v>157</v>
      </c>
      <c r="D7" s="32">
        <v>120.0</v>
      </c>
      <c r="E7" s="16" t="s">
        <v>158</v>
      </c>
      <c r="F7" s="32">
        <v>72.0</v>
      </c>
      <c r="G7" s="33">
        <f t="shared" si="1"/>
        <v>40</v>
      </c>
    </row>
    <row r="8">
      <c r="A8" s="16">
        <v>3.0</v>
      </c>
      <c r="B8" s="16" t="s">
        <v>160</v>
      </c>
      <c r="C8" s="16" t="s">
        <v>157</v>
      </c>
      <c r="D8" s="32">
        <v>300.0</v>
      </c>
      <c r="E8" s="16" t="s">
        <v>158</v>
      </c>
      <c r="F8" s="32">
        <v>180.0</v>
      </c>
      <c r="G8" s="33">
        <f t="shared" si="1"/>
        <v>40</v>
      </c>
    </row>
    <row r="9">
      <c r="A9" s="16">
        <v>4.0</v>
      </c>
      <c r="B9" s="16" t="s">
        <v>161</v>
      </c>
      <c r="C9" s="16" t="s">
        <v>162</v>
      </c>
      <c r="D9" s="32">
        <v>200.0</v>
      </c>
      <c r="E9" s="16" t="s">
        <v>163</v>
      </c>
      <c r="F9" s="32">
        <v>120.0</v>
      </c>
      <c r="G9" s="33">
        <f t="shared" si="1"/>
        <v>40</v>
      </c>
    </row>
    <row r="10">
      <c r="A10" s="16">
        <v>5.0</v>
      </c>
      <c r="B10" s="16" t="s">
        <v>164</v>
      </c>
      <c r="C10" s="16" t="s">
        <v>162</v>
      </c>
      <c r="D10" s="32">
        <v>150.0</v>
      </c>
      <c r="E10" s="16" t="s">
        <v>165</v>
      </c>
      <c r="F10" s="32">
        <v>90.0</v>
      </c>
      <c r="G10" s="33" t="str">
        <f t="shared" si="1"/>
        <v>#DIV/0!</v>
      </c>
    </row>
    <row r="12">
      <c r="A12" s="29" t="s">
        <v>166</v>
      </c>
      <c r="B12" s="2"/>
      <c r="C12" s="2"/>
      <c r="D12" s="2"/>
      <c r="E12" s="2"/>
      <c r="F12" s="2"/>
      <c r="G12" s="3"/>
    </row>
    <row r="13">
      <c r="A13" s="30">
        <v>1.0</v>
      </c>
      <c r="B13" s="15"/>
      <c r="C13" s="15"/>
      <c r="D13" s="31"/>
      <c r="E13" s="15"/>
      <c r="F13" s="31"/>
      <c r="G13" s="34" t="str">
        <f t="shared" ref="G13:G27" si="2">IF(AND(D13&lt;&gt;0,F13&lt;&gt;0),((D13-F13)/D13)*100,"")</f>
        <v/>
      </c>
    </row>
    <row r="14">
      <c r="A14" s="30">
        <v>2.0</v>
      </c>
      <c r="B14" s="15"/>
      <c r="C14" s="15"/>
      <c r="D14" s="31"/>
      <c r="E14" s="15"/>
      <c r="F14" s="31"/>
      <c r="G14" s="34" t="str">
        <f t="shared" si="2"/>
        <v/>
      </c>
    </row>
    <row r="15">
      <c r="A15" s="30">
        <v>3.0</v>
      </c>
      <c r="B15" s="15"/>
      <c r="C15" s="15"/>
      <c r="D15" s="31"/>
      <c r="E15" s="15"/>
      <c r="F15" s="31"/>
      <c r="G15" s="34" t="str">
        <f t="shared" si="2"/>
        <v/>
      </c>
    </row>
    <row r="16">
      <c r="A16" s="30">
        <v>4.0</v>
      </c>
      <c r="B16" s="15"/>
      <c r="C16" s="15"/>
      <c r="D16" s="31"/>
      <c r="E16" s="15"/>
      <c r="F16" s="31"/>
      <c r="G16" s="34" t="str">
        <f t="shared" si="2"/>
        <v/>
      </c>
      <c r="J16" s="35" t="s">
        <v>167</v>
      </c>
    </row>
    <row r="17">
      <c r="A17" s="30">
        <v>5.0</v>
      </c>
      <c r="B17" s="15"/>
      <c r="C17" s="15"/>
      <c r="D17" s="31"/>
      <c r="E17" s="15"/>
      <c r="F17" s="31"/>
      <c r="G17" s="34" t="str">
        <f t="shared" si="2"/>
        <v/>
      </c>
    </row>
    <row r="18">
      <c r="A18" s="30">
        <v>6.0</v>
      </c>
      <c r="B18" s="15"/>
      <c r="C18" s="15"/>
      <c r="D18" s="31"/>
      <c r="E18" s="15"/>
      <c r="F18" s="31"/>
      <c r="G18" s="34" t="str">
        <f t="shared" si="2"/>
        <v/>
      </c>
    </row>
    <row r="19">
      <c r="A19" s="30">
        <v>7.0</v>
      </c>
      <c r="B19" s="15"/>
      <c r="C19" s="15"/>
      <c r="D19" s="31"/>
      <c r="E19" s="15"/>
      <c r="F19" s="31"/>
      <c r="G19" s="34" t="str">
        <f t="shared" si="2"/>
        <v/>
      </c>
    </row>
    <row r="20">
      <c r="A20" s="30">
        <v>8.0</v>
      </c>
      <c r="B20" s="15"/>
      <c r="C20" s="15"/>
      <c r="D20" s="31"/>
      <c r="E20" s="15"/>
      <c r="F20" s="31"/>
      <c r="G20" s="34" t="str">
        <f t="shared" si="2"/>
        <v/>
      </c>
    </row>
    <row r="21" ht="15.75" customHeight="1">
      <c r="A21" s="30">
        <v>9.0</v>
      </c>
      <c r="B21" s="15"/>
      <c r="C21" s="15"/>
      <c r="D21" s="31"/>
      <c r="E21" s="15"/>
      <c r="F21" s="31"/>
      <c r="G21" s="34" t="str">
        <f t="shared" si="2"/>
        <v/>
      </c>
    </row>
    <row r="22" ht="15.75" customHeight="1">
      <c r="A22" s="30">
        <v>10.0</v>
      </c>
      <c r="B22" s="15"/>
      <c r="C22" s="15"/>
      <c r="D22" s="31"/>
      <c r="E22" s="15"/>
      <c r="F22" s="31"/>
      <c r="G22" s="34" t="str">
        <f t="shared" si="2"/>
        <v/>
      </c>
    </row>
    <row r="23" ht="15.75" customHeight="1">
      <c r="A23" s="30">
        <v>11.0</v>
      </c>
      <c r="B23" s="15"/>
      <c r="C23" s="15"/>
      <c r="D23" s="31"/>
      <c r="E23" s="15"/>
      <c r="F23" s="31"/>
      <c r="G23" s="34" t="str">
        <f t="shared" si="2"/>
        <v/>
      </c>
    </row>
    <row r="24" ht="15.75" customHeight="1">
      <c r="A24" s="30">
        <v>12.0</v>
      </c>
      <c r="B24" s="15"/>
      <c r="C24" s="15"/>
      <c r="D24" s="31"/>
      <c r="E24" s="15"/>
      <c r="F24" s="31"/>
      <c r="G24" s="34" t="str">
        <f t="shared" si="2"/>
        <v/>
      </c>
    </row>
    <row r="25" ht="15.75" customHeight="1">
      <c r="A25" s="30">
        <v>13.0</v>
      </c>
      <c r="B25" s="15"/>
      <c r="C25" s="15"/>
      <c r="D25" s="31"/>
      <c r="E25" s="15"/>
      <c r="F25" s="31"/>
      <c r="G25" s="34" t="str">
        <f t="shared" si="2"/>
        <v/>
      </c>
    </row>
    <row r="26" ht="15.75" customHeight="1">
      <c r="A26" s="30">
        <v>14.0</v>
      </c>
      <c r="B26" s="15"/>
      <c r="C26" s="15"/>
      <c r="D26" s="31"/>
      <c r="E26" s="15"/>
      <c r="F26" s="31"/>
      <c r="G26" s="34" t="str">
        <f t="shared" si="2"/>
        <v/>
      </c>
    </row>
    <row r="27" ht="15.75" customHeight="1">
      <c r="A27" s="30">
        <v>15.0</v>
      </c>
      <c r="B27" s="15"/>
      <c r="C27" s="15"/>
      <c r="D27" s="31"/>
      <c r="E27" s="15"/>
      <c r="F27" s="31"/>
      <c r="G27" s="34" t="str">
        <f t="shared" si="2"/>
        <v/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3:G3"/>
    <mergeCell ref="A12:G12"/>
  </mergeCells>
  <dataValidations>
    <dataValidation type="list" allowBlank="1" sqref="C13:C27">
      <formula1>"Produit,Service"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6" width="10.0"/>
  </cols>
  <sheetData>
    <row r="1" ht="30.0" customHeight="1">
      <c r="A1" s="1" t="s">
        <v>168</v>
      </c>
      <c r="B1" s="2"/>
      <c r="C1" s="2"/>
      <c r="D1" s="2"/>
      <c r="E1" s="2"/>
      <c r="F1" s="2"/>
      <c r="G1" s="3"/>
    </row>
    <row r="3">
      <c r="A3" s="27" t="s">
        <v>169</v>
      </c>
      <c r="B3" s="2"/>
      <c r="C3" s="2"/>
      <c r="D3" s="2"/>
      <c r="E3" s="2"/>
      <c r="F3" s="2"/>
      <c r="G3" s="3"/>
    </row>
    <row r="5">
      <c r="A5" s="28" t="s">
        <v>150</v>
      </c>
      <c r="B5" s="28" t="s">
        <v>170</v>
      </c>
      <c r="C5" s="28" t="s">
        <v>171</v>
      </c>
      <c r="D5" s="36"/>
      <c r="E5" s="36"/>
      <c r="F5" s="36"/>
      <c r="G5" s="36"/>
    </row>
    <row r="6">
      <c r="A6" s="16">
        <v>1.0</v>
      </c>
      <c r="B6" s="16" t="s">
        <v>172</v>
      </c>
      <c r="C6" s="16">
        <v>1.0</v>
      </c>
      <c r="D6" s="32"/>
      <c r="E6" s="37"/>
      <c r="F6" s="32"/>
      <c r="G6" s="32"/>
    </row>
    <row r="7">
      <c r="A7" s="16">
        <v>2.0</v>
      </c>
      <c r="B7" s="16" t="s">
        <v>173</v>
      </c>
      <c r="C7" s="16">
        <v>1.0</v>
      </c>
      <c r="D7" s="32"/>
      <c r="E7" s="37"/>
      <c r="F7" s="32"/>
      <c r="G7" s="32"/>
    </row>
    <row r="8">
      <c r="A8" s="16">
        <v>3.0</v>
      </c>
      <c r="B8" s="16" t="s">
        <v>174</v>
      </c>
      <c r="C8" s="16">
        <v>2.0</v>
      </c>
      <c r="D8" s="32"/>
      <c r="E8" s="37"/>
      <c r="F8" s="32"/>
      <c r="G8" s="32"/>
    </row>
    <row r="9">
      <c r="A9" s="16">
        <v>4.0</v>
      </c>
      <c r="B9" s="16" t="s">
        <v>175</v>
      </c>
      <c r="C9" s="16">
        <v>5.0</v>
      </c>
      <c r="D9" s="32"/>
      <c r="E9" s="37"/>
      <c r="F9" s="32"/>
      <c r="G9" s="32"/>
    </row>
    <row r="10">
      <c r="A10" s="16">
        <v>5.0</v>
      </c>
      <c r="B10" s="16" t="s">
        <v>176</v>
      </c>
      <c r="C10" s="16">
        <v>1.0</v>
      </c>
      <c r="D10" s="32"/>
      <c r="E10" s="37"/>
      <c r="F10" s="32"/>
      <c r="G10" s="32"/>
    </row>
    <row r="11">
      <c r="D11" s="10"/>
      <c r="E11" s="10"/>
    </row>
    <row r="12">
      <c r="A12" s="29" t="s">
        <v>177</v>
      </c>
      <c r="B12" s="2"/>
      <c r="C12" s="2"/>
      <c r="D12" s="2"/>
      <c r="E12" s="2"/>
      <c r="F12" s="2"/>
      <c r="G12" s="3"/>
    </row>
    <row r="13">
      <c r="A13" s="30">
        <v>1.0</v>
      </c>
      <c r="B13" s="15"/>
      <c r="C13" s="38"/>
      <c r="D13" s="39"/>
      <c r="E13" s="40"/>
      <c r="F13" s="39"/>
      <c r="G13" s="39"/>
    </row>
    <row r="14">
      <c r="A14" s="30">
        <v>2.0</v>
      </c>
      <c r="B14" s="15"/>
      <c r="C14" s="38"/>
      <c r="D14" s="39"/>
      <c r="E14" s="40"/>
      <c r="F14" s="39"/>
      <c r="G14" s="39"/>
    </row>
    <row r="15">
      <c r="A15" s="30">
        <v>3.0</v>
      </c>
      <c r="B15" s="15"/>
      <c r="C15" s="38"/>
      <c r="D15" s="39"/>
      <c r="E15" s="40"/>
      <c r="F15" s="39"/>
      <c r="G15" s="39"/>
    </row>
    <row r="16">
      <c r="A16" s="30">
        <v>4.0</v>
      </c>
      <c r="B16" s="15"/>
      <c r="C16" s="38"/>
      <c r="D16" s="39"/>
      <c r="E16" s="40"/>
      <c r="F16" s="39"/>
      <c r="G16" s="39"/>
    </row>
    <row r="17">
      <c r="A17" s="30">
        <v>5.0</v>
      </c>
      <c r="B17" s="15"/>
      <c r="C17" s="38"/>
      <c r="D17" s="39"/>
      <c r="E17" s="40"/>
      <c r="F17" s="39"/>
      <c r="G17" s="39"/>
    </row>
    <row r="18">
      <c r="A18" s="30">
        <v>6.0</v>
      </c>
      <c r="B18" s="15"/>
      <c r="C18" s="38"/>
      <c r="D18" s="39"/>
      <c r="E18" s="40"/>
      <c r="F18" s="39"/>
      <c r="G18" s="39"/>
    </row>
    <row r="19">
      <c r="A19" s="30">
        <v>7.0</v>
      </c>
      <c r="B19" s="15"/>
      <c r="C19" s="38"/>
      <c r="D19" s="39"/>
      <c r="E19" s="40"/>
      <c r="F19" s="39"/>
      <c r="G19" s="39"/>
    </row>
    <row r="20">
      <c r="A20" s="30">
        <v>8.0</v>
      </c>
      <c r="B20" s="15"/>
      <c r="C20" s="38"/>
      <c r="D20" s="39"/>
      <c r="E20" s="40"/>
      <c r="F20" s="39"/>
      <c r="G20" s="39"/>
    </row>
    <row r="21" ht="15.75" customHeight="1">
      <c r="A21" s="30">
        <v>9.0</v>
      </c>
      <c r="B21" s="15"/>
      <c r="C21" s="38"/>
      <c r="D21" s="39"/>
      <c r="E21" s="40"/>
      <c r="F21" s="39"/>
      <c r="G21" s="39"/>
    </row>
    <row r="22" ht="15.75" customHeight="1">
      <c r="A22" s="30">
        <v>10.0</v>
      </c>
      <c r="B22" s="15"/>
      <c r="C22" s="38"/>
      <c r="D22" s="39"/>
      <c r="E22" s="40"/>
      <c r="F22" s="39"/>
      <c r="G22" s="39"/>
    </row>
    <row r="23" ht="15.75" customHeight="1">
      <c r="A23" s="30">
        <v>11.0</v>
      </c>
      <c r="B23" s="15"/>
      <c r="C23" s="38"/>
      <c r="D23" s="39"/>
      <c r="E23" s="40"/>
      <c r="F23" s="39"/>
      <c r="G23" s="39"/>
    </row>
    <row r="24" ht="15.75" customHeight="1">
      <c r="A24" s="30">
        <v>12.0</v>
      </c>
      <c r="B24" s="15"/>
      <c r="C24" s="38"/>
      <c r="D24" s="39"/>
      <c r="E24" s="40"/>
      <c r="F24" s="39"/>
      <c r="G24" s="39"/>
    </row>
    <row r="25" ht="15.75" customHeight="1">
      <c r="A25" s="30">
        <v>13.0</v>
      </c>
      <c r="B25" s="15"/>
      <c r="C25" s="38"/>
      <c r="D25" s="39"/>
      <c r="E25" s="40"/>
      <c r="F25" s="39"/>
      <c r="G25" s="39"/>
    </row>
    <row r="26" ht="15.75" customHeight="1">
      <c r="A26" s="30">
        <v>14.0</v>
      </c>
      <c r="B26" s="15"/>
      <c r="C26" s="38"/>
      <c r="D26" s="39"/>
      <c r="E26" s="40"/>
      <c r="F26" s="39"/>
      <c r="G26" s="39"/>
    </row>
    <row r="27" ht="15.75" customHeight="1">
      <c r="A27" s="30">
        <v>15.0</v>
      </c>
      <c r="B27" s="15"/>
      <c r="C27" s="38"/>
      <c r="D27" s="39"/>
      <c r="E27" s="40"/>
      <c r="F27" s="39"/>
      <c r="G27" s="39"/>
    </row>
    <row r="28" ht="15.75" customHeight="1">
      <c r="A28" s="30">
        <v>16.0</v>
      </c>
      <c r="B28" s="15"/>
      <c r="C28" s="38"/>
      <c r="D28" s="39"/>
      <c r="E28" s="40"/>
      <c r="F28" s="39"/>
      <c r="G28" s="39"/>
    </row>
    <row r="29" ht="15.75" customHeight="1">
      <c r="A29" s="30">
        <v>17.0</v>
      </c>
      <c r="B29" s="15"/>
      <c r="C29" s="38"/>
      <c r="D29" s="39"/>
      <c r="E29" s="40"/>
      <c r="F29" s="39"/>
      <c r="G29" s="39"/>
    </row>
    <row r="30" ht="15.75" customHeight="1">
      <c r="A30" s="30">
        <v>18.0</v>
      </c>
      <c r="B30" s="15"/>
      <c r="C30" s="38"/>
      <c r="D30" s="39"/>
      <c r="E30" s="40"/>
      <c r="F30" s="39"/>
      <c r="G30" s="39"/>
    </row>
    <row r="31" ht="15.75" customHeight="1">
      <c r="A31" s="30">
        <v>19.0</v>
      </c>
      <c r="B31" s="15"/>
      <c r="C31" s="38"/>
      <c r="D31" s="39"/>
      <c r="E31" s="40"/>
      <c r="F31" s="39"/>
      <c r="G31" s="39"/>
    </row>
    <row r="32" ht="15.75" customHeight="1">
      <c r="A32" s="30">
        <v>20.0</v>
      </c>
      <c r="B32" s="15"/>
      <c r="C32" s="38"/>
      <c r="D32" s="39"/>
      <c r="E32" s="40"/>
      <c r="F32" s="39"/>
      <c r="G32" s="39"/>
    </row>
    <row r="33" ht="15.75" customHeight="1"/>
    <row r="34" ht="15.75" customHeight="1">
      <c r="A34" s="41"/>
      <c r="F34" s="42"/>
      <c r="G34" s="42"/>
    </row>
    <row r="35" ht="15.75" customHeight="1"/>
    <row r="36" ht="15.75" customHeight="1"/>
    <row r="37" ht="15.75" customHeight="1">
      <c r="A37" s="43" t="s">
        <v>178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"/>
    </row>
    <row r="38" ht="15.75" customHeight="1">
      <c r="A38" s="44" t="s">
        <v>179</v>
      </c>
    </row>
    <row r="39" ht="15.75" customHeight="1"/>
    <row r="40" ht="15.75" customHeight="1">
      <c r="B40" s="45" t="s">
        <v>180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45" t="s">
        <v>181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7"/>
      <c r="AB40" s="45" t="s">
        <v>182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7"/>
      <c r="AO40" s="45" t="s">
        <v>183</v>
      </c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7"/>
      <c r="BB40" s="45" t="s">
        <v>184</v>
      </c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7"/>
    </row>
    <row r="41" ht="15.75" customHeight="1">
      <c r="A41" s="48" t="s">
        <v>170</v>
      </c>
      <c r="B41" s="49" t="s">
        <v>185</v>
      </c>
      <c r="C41" s="49" t="s">
        <v>186</v>
      </c>
      <c r="D41" s="49" t="s">
        <v>187</v>
      </c>
      <c r="E41" s="49" t="s">
        <v>188</v>
      </c>
      <c r="F41" s="49" t="s">
        <v>189</v>
      </c>
      <c r="G41" s="49" t="s">
        <v>190</v>
      </c>
      <c r="H41" s="49" t="s">
        <v>191</v>
      </c>
      <c r="I41" s="49" t="s">
        <v>192</v>
      </c>
      <c r="J41" s="49" t="s">
        <v>193</v>
      </c>
      <c r="K41" s="49" t="s">
        <v>194</v>
      </c>
      <c r="L41" s="49" t="s">
        <v>195</v>
      </c>
      <c r="M41" s="49" t="s">
        <v>196</v>
      </c>
      <c r="N41" s="50" t="s">
        <v>197</v>
      </c>
      <c r="O41" s="49" t="s">
        <v>185</v>
      </c>
      <c r="P41" s="49" t="s">
        <v>186</v>
      </c>
      <c r="Q41" s="49" t="s">
        <v>187</v>
      </c>
      <c r="R41" s="49" t="s">
        <v>188</v>
      </c>
      <c r="S41" s="49" t="s">
        <v>189</v>
      </c>
      <c r="T41" s="49" t="s">
        <v>190</v>
      </c>
      <c r="U41" s="49" t="s">
        <v>191</v>
      </c>
      <c r="V41" s="49" t="s">
        <v>192</v>
      </c>
      <c r="W41" s="49" t="s">
        <v>193</v>
      </c>
      <c r="X41" s="49" t="s">
        <v>194</v>
      </c>
      <c r="Y41" s="49" t="s">
        <v>195</v>
      </c>
      <c r="Z41" s="49" t="s">
        <v>196</v>
      </c>
      <c r="AA41" s="50" t="s">
        <v>197</v>
      </c>
      <c r="AB41" s="49" t="s">
        <v>185</v>
      </c>
      <c r="AC41" s="49" t="s">
        <v>186</v>
      </c>
      <c r="AD41" s="49" t="s">
        <v>187</v>
      </c>
      <c r="AE41" s="49" t="s">
        <v>188</v>
      </c>
      <c r="AF41" s="49" t="s">
        <v>189</v>
      </c>
      <c r="AG41" s="49" t="s">
        <v>190</v>
      </c>
      <c r="AH41" s="49" t="s">
        <v>191</v>
      </c>
      <c r="AI41" s="49" t="s">
        <v>192</v>
      </c>
      <c r="AJ41" s="49" t="s">
        <v>193</v>
      </c>
      <c r="AK41" s="49" t="s">
        <v>194</v>
      </c>
      <c r="AL41" s="49" t="s">
        <v>195</v>
      </c>
      <c r="AM41" s="49" t="s">
        <v>196</v>
      </c>
      <c r="AN41" s="50" t="s">
        <v>197</v>
      </c>
      <c r="AO41" s="49" t="s">
        <v>185</v>
      </c>
      <c r="AP41" s="49" t="s">
        <v>186</v>
      </c>
      <c r="AQ41" s="49" t="s">
        <v>187</v>
      </c>
      <c r="AR41" s="49" t="s">
        <v>188</v>
      </c>
      <c r="AS41" s="49" t="s">
        <v>189</v>
      </c>
      <c r="AT41" s="49" t="s">
        <v>190</v>
      </c>
      <c r="AU41" s="49" t="s">
        <v>191</v>
      </c>
      <c r="AV41" s="49" t="s">
        <v>192</v>
      </c>
      <c r="AW41" s="49" t="s">
        <v>193</v>
      </c>
      <c r="AX41" s="49" t="s">
        <v>194</v>
      </c>
      <c r="AY41" s="49" t="s">
        <v>195</v>
      </c>
      <c r="AZ41" s="49" t="s">
        <v>196</v>
      </c>
      <c r="BA41" s="50" t="s">
        <v>197</v>
      </c>
      <c r="BB41" s="49" t="s">
        <v>185</v>
      </c>
      <c r="BC41" s="49" t="s">
        <v>186</v>
      </c>
      <c r="BD41" s="49" t="s">
        <v>187</v>
      </c>
      <c r="BE41" s="49" t="s">
        <v>188</v>
      </c>
      <c r="BF41" s="49" t="s">
        <v>189</v>
      </c>
      <c r="BG41" s="49" t="s">
        <v>190</v>
      </c>
      <c r="BH41" s="49" t="s">
        <v>191</v>
      </c>
      <c r="BI41" s="49" t="s">
        <v>192</v>
      </c>
      <c r="BJ41" s="49" t="s">
        <v>193</v>
      </c>
      <c r="BK41" s="49" t="s">
        <v>194</v>
      </c>
      <c r="BL41" s="49" t="s">
        <v>195</v>
      </c>
      <c r="BM41" s="49" t="s">
        <v>196</v>
      </c>
      <c r="BN41" s="50" t="s">
        <v>197</v>
      </c>
    </row>
    <row r="42" ht="15.75" customHeight="1">
      <c r="A42" s="51" t="s">
        <v>198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3">
        <f t="shared" ref="N42:N48" si="1">SUM(B42:M42)</f>
        <v>0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3">
        <f t="shared" ref="AA42:AA48" si="2">SUM(O42:Z42)</f>
        <v>0</v>
      </c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3">
        <f t="shared" ref="AN42:AN48" si="3">SUM(AB42:AM42)</f>
        <v>0</v>
      </c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3">
        <f t="shared" ref="BA42:BA48" si="4">SUM(AO42:AZ42)</f>
        <v>0</v>
      </c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3">
        <f t="shared" ref="BN42:BN48" si="5">SUM(BB42:BM42)</f>
        <v>0</v>
      </c>
    </row>
    <row r="43" ht="15.75" customHeight="1">
      <c r="A43" s="51" t="s">
        <v>199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>
        <f t="shared" si="1"/>
        <v>0</v>
      </c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3">
        <f t="shared" si="2"/>
        <v>0</v>
      </c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3">
        <f t="shared" si="3"/>
        <v>0</v>
      </c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3">
        <f t="shared" si="4"/>
        <v>0</v>
      </c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3">
        <f t="shared" si="5"/>
        <v>0</v>
      </c>
    </row>
    <row r="44" ht="15.75" customHeight="1">
      <c r="A44" s="51" t="s">
        <v>200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>
        <f t="shared" si="1"/>
        <v>0</v>
      </c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>
        <f t="shared" si="2"/>
        <v>0</v>
      </c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>
        <f t="shared" si="3"/>
        <v>0</v>
      </c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3">
        <f t="shared" si="4"/>
        <v>0</v>
      </c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3">
        <f t="shared" si="5"/>
        <v>0</v>
      </c>
    </row>
    <row r="45" ht="15.75" customHeight="1">
      <c r="A45" s="51" t="s">
        <v>201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3">
        <f t="shared" si="1"/>
        <v>0</v>
      </c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>
        <f t="shared" si="2"/>
        <v>0</v>
      </c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3">
        <f t="shared" si="3"/>
        <v>0</v>
      </c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3">
        <f t="shared" si="4"/>
        <v>0</v>
      </c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3">
        <f t="shared" si="5"/>
        <v>0</v>
      </c>
    </row>
    <row r="46" ht="15.75" customHeight="1">
      <c r="A46" s="51" t="s">
        <v>202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3">
        <f t="shared" si="1"/>
        <v>0</v>
      </c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>
        <f t="shared" si="2"/>
        <v>0</v>
      </c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3">
        <f t="shared" si="3"/>
        <v>0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3">
        <f t="shared" si="4"/>
        <v>0</v>
      </c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3">
        <f t="shared" si="5"/>
        <v>0</v>
      </c>
    </row>
    <row r="47" ht="15.75" customHeight="1">
      <c r="A47" s="51" t="s">
        <v>203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3">
        <f t="shared" si="1"/>
        <v>0</v>
      </c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3">
        <f t="shared" si="2"/>
        <v>0</v>
      </c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3">
        <f t="shared" si="3"/>
        <v>0</v>
      </c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3">
        <f t="shared" si="4"/>
        <v>0</v>
      </c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3">
        <f t="shared" si="5"/>
        <v>0</v>
      </c>
    </row>
    <row r="48" ht="15.75" customHeight="1">
      <c r="A48" s="54" t="s">
        <v>204</v>
      </c>
      <c r="B48" s="53">
        <f t="shared" ref="B48:M48" si="6">SUM(B42:B47)</f>
        <v>0</v>
      </c>
      <c r="C48" s="53">
        <f t="shared" si="6"/>
        <v>0</v>
      </c>
      <c r="D48" s="53">
        <f t="shared" si="6"/>
        <v>0</v>
      </c>
      <c r="E48" s="53">
        <f t="shared" si="6"/>
        <v>0</v>
      </c>
      <c r="F48" s="53">
        <f t="shared" si="6"/>
        <v>0</v>
      </c>
      <c r="G48" s="53">
        <f t="shared" si="6"/>
        <v>0</v>
      </c>
      <c r="H48" s="53">
        <f t="shared" si="6"/>
        <v>0</v>
      </c>
      <c r="I48" s="53">
        <f t="shared" si="6"/>
        <v>0</v>
      </c>
      <c r="J48" s="53">
        <f t="shared" si="6"/>
        <v>0</v>
      </c>
      <c r="K48" s="53">
        <f t="shared" si="6"/>
        <v>0</v>
      </c>
      <c r="L48" s="53">
        <f t="shared" si="6"/>
        <v>0</v>
      </c>
      <c r="M48" s="53">
        <f t="shared" si="6"/>
        <v>0</v>
      </c>
      <c r="N48" s="55">
        <f t="shared" si="1"/>
        <v>0</v>
      </c>
      <c r="O48" s="53">
        <f t="shared" ref="O48:Z48" si="7">SUM(O42:O47)</f>
        <v>0</v>
      </c>
      <c r="P48" s="53">
        <f t="shared" si="7"/>
        <v>0</v>
      </c>
      <c r="Q48" s="53">
        <f t="shared" si="7"/>
        <v>0</v>
      </c>
      <c r="R48" s="53">
        <f t="shared" si="7"/>
        <v>0</v>
      </c>
      <c r="S48" s="53">
        <f t="shared" si="7"/>
        <v>0</v>
      </c>
      <c r="T48" s="53">
        <f t="shared" si="7"/>
        <v>0</v>
      </c>
      <c r="U48" s="53">
        <f t="shared" si="7"/>
        <v>0</v>
      </c>
      <c r="V48" s="53">
        <f t="shared" si="7"/>
        <v>0</v>
      </c>
      <c r="W48" s="53">
        <f t="shared" si="7"/>
        <v>0</v>
      </c>
      <c r="X48" s="53">
        <f t="shared" si="7"/>
        <v>0</v>
      </c>
      <c r="Y48" s="53">
        <f t="shared" si="7"/>
        <v>0</v>
      </c>
      <c r="Z48" s="53">
        <f t="shared" si="7"/>
        <v>0</v>
      </c>
      <c r="AA48" s="55">
        <f t="shared" si="2"/>
        <v>0</v>
      </c>
      <c r="AB48" s="53">
        <f t="shared" ref="AB48:AM48" si="8">SUM(AB42:AB47)</f>
        <v>0</v>
      </c>
      <c r="AC48" s="53">
        <f t="shared" si="8"/>
        <v>0</v>
      </c>
      <c r="AD48" s="53">
        <f t="shared" si="8"/>
        <v>0</v>
      </c>
      <c r="AE48" s="53">
        <f t="shared" si="8"/>
        <v>0</v>
      </c>
      <c r="AF48" s="53">
        <f t="shared" si="8"/>
        <v>0</v>
      </c>
      <c r="AG48" s="53">
        <f t="shared" si="8"/>
        <v>0</v>
      </c>
      <c r="AH48" s="53">
        <f t="shared" si="8"/>
        <v>0</v>
      </c>
      <c r="AI48" s="53">
        <f t="shared" si="8"/>
        <v>0</v>
      </c>
      <c r="AJ48" s="53">
        <f t="shared" si="8"/>
        <v>0</v>
      </c>
      <c r="AK48" s="53">
        <f t="shared" si="8"/>
        <v>0</v>
      </c>
      <c r="AL48" s="53">
        <f t="shared" si="8"/>
        <v>0</v>
      </c>
      <c r="AM48" s="53">
        <f t="shared" si="8"/>
        <v>0</v>
      </c>
      <c r="AN48" s="55">
        <f t="shared" si="3"/>
        <v>0</v>
      </c>
      <c r="AO48" s="53">
        <f t="shared" ref="AO48:AZ48" si="9">SUM(AO42:AO47)</f>
        <v>0</v>
      </c>
      <c r="AP48" s="53">
        <f t="shared" si="9"/>
        <v>0</v>
      </c>
      <c r="AQ48" s="53">
        <f t="shared" si="9"/>
        <v>0</v>
      </c>
      <c r="AR48" s="53">
        <f t="shared" si="9"/>
        <v>0</v>
      </c>
      <c r="AS48" s="53">
        <f t="shared" si="9"/>
        <v>0</v>
      </c>
      <c r="AT48" s="53">
        <f t="shared" si="9"/>
        <v>0</v>
      </c>
      <c r="AU48" s="53">
        <f t="shared" si="9"/>
        <v>0</v>
      </c>
      <c r="AV48" s="53">
        <f t="shared" si="9"/>
        <v>0</v>
      </c>
      <c r="AW48" s="53">
        <f t="shared" si="9"/>
        <v>0</v>
      </c>
      <c r="AX48" s="53">
        <f t="shared" si="9"/>
        <v>0</v>
      </c>
      <c r="AY48" s="53">
        <f t="shared" si="9"/>
        <v>0</v>
      </c>
      <c r="AZ48" s="53">
        <f t="shared" si="9"/>
        <v>0</v>
      </c>
      <c r="BA48" s="55">
        <f t="shared" si="4"/>
        <v>0</v>
      </c>
      <c r="BB48" s="53">
        <f t="shared" ref="BB48:BM48" si="10">SUM(BB42:BB47)</f>
        <v>0</v>
      </c>
      <c r="BC48" s="53">
        <f t="shared" si="10"/>
        <v>0</v>
      </c>
      <c r="BD48" s="53">
        <f t="shared" si="10"/>
        <v>0</v>
      </c>
      <c r="BE48" s="53">
        <f t="shared" si="10"/>
        <v>0</v>
      </c>
      <c r="BF48" s="53">
        <f t="shared" si="10"/>
        <v>0</v>
      </c>
      <c r="BG48" s="53">
        <f t="shared" si="10"/>
        <v>0</v>
      </c>
      <c r="BH48" s="53">
        <f t="shared" si="10"/>
        <v>0</v>
      </c>
      <c r="BI48" s="53">
        <f t="shared" si="10"/>
        <v>0</v>
      </c>
      <c r="BJ48" s="53">
        <f t="shared" si="10"/>
        <v>0</v>
      </c>
      <c r="BK48" s="53">
        <f t="shared" si="10"/>
        <v>0</v>
      </c>
      <c r="BL48" s="53">
        <f t="shared" si="10"/>
        <v>0</v>
      </c>
      <c r="BM48" s="53">
        <f t="shared" si="10"/>
        <v>0</v>
      </c>
      <c r="BN48" s="55">
        <f t="shared" si="5"/>
        <v>0</v>
      </c>
    </row>
    <row r="49" ht="15.75" customHeight="1"/>
    <row r="50" ht="15.75" customHeight="1">
      <c r="A50" s="56" t="s">
        <v>205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O40:AA40"/>
    <mergeCell ref="AB40:AN40"/>
    <mergeCell ref="BB40:BN40"/>
    <mergeCell ref="AO40:BA40"/>
    <mergeCell ref="A50:BI50"/>
    <mergeCell ref="A1:G1"/>
    <mergeCell ref="A3:G3"/>
    <mergeCell ref="A12:G12"/>
    <mergeCell ref="A34:E34"/>
    <mergeCell ref="A37:BI37"/>
    <mergeCell ref="A38:BI38"/>
    <mergeCell ref="B40:N4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43"/>
    <col customWidth="1" min="3" max="3" width="10.0"/>
    <col customWidth="1" min="4" max="4" width="13.14"/>
    <col customWidth="1" min="5" max="66" width="10.0"/>
  </cols>
  <sheetData>
    <row r="1" ht="30.0" customHeight="1">
      <c r="A1" s="57" t="s">
        <v>206</v>
      </c>
      <c r="B1" s="2"/>
      <c r="C1" s="2"/>
      <c r="D1" s="2"/>
      <c r="E1" s="2"/>
      <c r="F1" s="2"/>
      <c r="G1" s="2"/>
      <c r="H1" s="3"/>
    </row>
    <row r="3">
      <c r="A3" s="27" t="s">
        <v>207</v>
      </c>
      <c r="B3" s="2"/>
      <c r="C3" s="2"/>
      <c r="D3" s="2"/>
      <c r="E3" s="2"/>
      <c r="F3" s="2"/>
      <c r="G3" s="2"/>
      <c r="H3" s="3"/>
    </row>
    <row r="5">
      <c r="A5" s="29" t="s">
        <v>208</v>
      </c>
      <c r="B5" s="2"/>
      <c r="C5" s="2"/>
      <c r="D5" s="2"/>
      <c r="E5" s="2"/>
      <c r="F5" s="2"/>
      <c r="G5" s="2"/>
      <c r="H5" s="3"/>
    </row>
    <row r="7">
      <c r="A7" s="28" t="s">
        <v>150</v>
      </c>
      <c r="B7" s="28" t="s">
        <v>209</v>
      </c>
      <c r="C7" s="28" t="s">
        <v>89</v>
      </c>
      <c r="D7" s="28" t="s">
        <v>154</v>
      </c>
      <c r="E7" s="28"/>
      <c r="F7" s="28"/>
      <c r="G7" s="28"/>
      <c r="H7" s="28"/>
    </row>
    <row r="8">
      <c r="A8" s="58">
        <v>1.0</v>
      </c>
      <c r="B8" s="58" t="s">
        <v>210</v>
      </c>
      <c r="C8" s="58" t="s">
        <v>211</v>
      </c>
      <c r="D8" s="59">
        <v>500.0</v>
      </c>
      <c r="E8" s="59"/>
      <c r="F8" s="59"/>
      <c r="G8" s="59"/>
      <c r="H8" s="58"/>
    </row>
    <row r="9">
      <c r="A9" s="58">
        <v>2.0</v>
      </c>
      <c r="B9" s="58" t="s">
        <v>212</v>
      </c>
      <c r="C9" s="58" t="s">
        <v>213</v>
      </c>
      <c r="D9" s="59">
        <v>10000.0</v>
      </c>
      <c r="E9" s="59"/>
      <c r="F9" s="59"/>
      <c r="G9" s="59"/>
      <c r="H9" s="58"/>
    </row>
    <row r="10">
      <c r="A10" s="58">
        <v>3.0</v>
      </c>
      <c r="B10" s="58" t="s">
        <v>214</v>
      </c>
      <c r="C10" s="58" t="s">
        <v>215</v>
      </c>
      <c r="D10" s="59">
        <v>50.0</v>
      </c>
      <c r="E10" s="59"/>
      <c r="F10" s="59"/>
      <c r="G10" s="59"/>
      <c r="H10" s="58"/>
    </row>
    <row r="11">
      <c r="A11" s="29" t="s">
        <v>216</v>
      </c>
      <c r="B11" s="2"/>
      <c r="C11" s="2"/>
      <c r="D11" s="2"/>
      <c r="E11" s="2"/>
      <c r="F11" s="2"/>
      <c r="G11" s="2"/>
      <c r="H11" s="3"/>
    </row>
    <row r="12">
      <c r="A12" s="30">
        <v>1.0</v>
      </c>
      <c r="B12" s="15"/>
      <c r="C12" s="15"/>
      <c r="D12" s="60"/>
      <c r="E12" s="39"/>
      <c r="F12" s="39" t="str">
        <f t="shared" ref="F12:F26" si="1">IF(AND(D12&lt;&gt;0,E12&lt;&gt;0),D12*E12,"")</f>
        <v/>
      </c>
      <c r="G12" s="39"/>
    </row>
    <row r="13">
      <c r="A13" s="30">
        <v>2.0</v>
      </c>
      <c r="B13" s="15"/>
      <c r="C13" s="15"/>
      <c r="D13" s="60"/>
      <c r="E13" s="39"/>
      <c r="F13" s="39" t="str">
        <f t="shared" si="1"/>
        <v/>
      </c>
      <c r="G13" s="39"/>
    </row>
    <row r="14">
      <c r="A14" s="30">
        <v>3.0</v>
      </c>
      <c r="B14" s="15"/>
      <c r="C14" s="15"/>
      <c r="D14" s="60"/>
      <c r="E14" s="39"/>
      <c r="F14" s="39" t="str">
        <f t="shared" si="1"/>
        <v/>
      </c>
      <c r="G14" s="39"/>
    </row>
    <row r="15">
      <c r="A15" s="30">
        <v>4.0</v>
      </c>
      <c r="B15" s="15"/>
      <c r="C15" s="15"/>
      <c r="D15" s="60"/>
      <c r="E15" s="39"/>
      <c r="F15" s="39" t="str">
        <f t="shared" si="1"/>
        <v/>
      </c>
      <c r="G15" s="39"/>
    </row>
    <row r="16">
      <c r="A16" s="30">
        <v>5.0</v>
      </c>
      <c r="B16" s="15"/>
      <c r="C16" s="15"/>
      <c r="D16" s="60"/>
      <c r="E16" s="39"/>
      <c r="F16" s="39" t="str">
        <f t="shared" si="1"/>
        <v/>
      </c>
      <c r="G16" s="39"/>
    </row>
    <row r="17">
      <c r="A17" s="30">
        <v>6.0</v>
      </c>
      <c r="B17" s="15"/>
      <c r="C17" s="15"/>
      <c r="D17" s="60"/>
      <c r="E17" s="39"/>
      <c r="F17" s="39" t="str">
        <f t="shared" si="1"/>
        <v/>
      </c>
      <c r="G17" s="39"/>
    </row>
    <row r="18">
      <c r="A18" s="30">
        <v>7.0</v>
      </c>
      <c r="B18" s="15"/>
      <c r="C18" s="15"/>
      <c r="D18" s="60"/>
      <c r="E18" s="39"/>
      <c r="F18" s="39" t="str">
        <f t="shared" si="1"/>
        <v/>
      </c>
      <c r="G18" s="39"/>
    </row>
    <row r="19">
      <c r="A19" s="30">
        <v>8.0</v>
      </c>
      <c r="B19" s="15"/>
      <c r="C19" s="15"/>
      <c r="D19" s="60"/>
      <c r="E19" s="39"/>
      <c r="F19" s="39" t="str">
        <f t="shared" si="1"/>
        <v/>
      </c>
      <c r="G19" s="39"/>
    </row>
    <row r="20">
      <c r="A20" s="30">
        <v>9.0</v>
      </c>
      <c r="B20" s="15"/>
      <c r="C20" s="15"/>
      <c r="D20" s="60"/>
      <c r="E20" s="39"/>
      <c r="F20" s="39" t="str">
        <f t="shared" si="1"/>
        <v/>
      </c>
      <c r="G20" s="39"/>
    </row>
    <row r="21" ht="15.75" customHeight="1">
      <c r="A21" s="30">
        <v>10.0</v>
      </c>
      <c r="B21" s="15"/>
      <c r="C21" s="15"/>
      <c r="D21" s="60"/>
      <c r="E21" s="39"/>
      <c r="F21" s="39" t="str">
        <f t="shared" si="1"/>
        <v/>
      </c>
      <c r="G21" s="39"/>
    </row>
    <row r="22" ht="15.75" customHeight="1">
      <c r="A22" s="30">
        <v>11.0</v>
      </c>
      <c r="B22" s="15"/>
      <c r="C22" s="15"/>
      <c r="D22" s="60"/>
      <c r="E22" s="39"/>
      <c r="F22" s="39" t="str">
        <f t="shared" si="1"/>
        <v/>
      </c>
      <c r="G22" s="39"/>
    </row>
    <row r="23" ht="15.75" customHeight="1">
      <c r="A23" s="30">
        <v>12.0</v>
      </c>
      <c r="B23" s="15"/>
      <c r="C23" s="15"/>
      <c r="D23" s="60"/>
      <c r="E23" s="39"/>
      <c r="F23" s="39" t="str">
        <f t="shared" si="1"/>
        <v/>
      </c>
      <c r="G23" s="39"/>
    </row>
    <row r="24" ht="15.75" customHeight="1">
      <c r="A24" s="30">
        <v>13.0</v>
      </c>
      <c r="B24" s="15"/>
      <c r="C24" s="15"/>
      <c r="D24" s="60"/>
      <c r="E24" s="39"/>
      <c r="F24" s="39" t="str">
        <f t="shared" si="1"/>
        <v/>
      </c>
      <c r="G24" s="39"/>
    </row>
    <row r="25" ht="15.75" customHeight="1">
      <c r="A25" s="30">
        <v>14.0</v>
      </c>
      <c r="B25" s="15"/>
      <c r="C25" s="15"/>
      <c r="D25" s="60"/>
      <c r="E25" s="39"/>
      <c r="F25" s="39" t="str">
        <f t="shared" si="1"/>
        <v/>
      </c>
      <c r="G25" s="39"/>
    </row>
    <row r="26" ht="15.75" customHeight="1">
      <c r="A26" s="30">
        <v>15.0</v>
      </c>
      <c r="B26" s="15"/>
      <c r="C26" s="15"/>
      <c r="D26" s="60"/>
      <c r="E26" s="39"/>
      <c r="F26" s="39" t="str">
        <f t="shared" si="1"/>
        <v/>
      </c>
      <c r="G26" s="39"/>
    </row>
    <row r="27" ht="15.75" customHeight="1">
      <c r="E27" s="7"/>
      <c r="F27" s="42"/>
      <c r="G27" s="42"/>
    </row>
    <row r="28" ht="15.75" customHeight="1"/>
    <row r="29" ht="15.75" customHeight="1">
      <c r="A29" s="61" t="s">
        <v>217</v>
      </c>
      <c r="B29" s="2"/>
      <c r="C29" s="2"/>
      <c r="D29" s="2"/>
      <c r="E29" s="2"/>
      <c r="F29" s="2"/>
      <c r="G29" s="2"/>
      <c r="H29" s="3"/>
    </row>
    <row r="30" ht="15.75" customHeight="1"/>
    <row r="31" ht="15.75" customHeight="1">
      <c r="A31" s="28" t="s">
        <v>150</v>
      </c>
      <c r="B31" s="28" t="s">
        <v>218</v>
      </c>
      <c r="C31" s="28" t="s">
        <v>219</v>
      </c>
      <c r="D31" s="28" t="s">
        <v>220</v>
      </c>
      <c r="E31" s="28" t="s">
        <v>221</v>
      </c>
      <c r="F31" s="28" t="s">
        <v>222</v>
      </c>
      <c r="G31" s="28"/>
      <c r="H31" s="28"/>
    </row>
    <row r="32" ht="15.75" customHeight="1">
      <c r="A32" s="58">
        <v>1.0</v>
      </c>
      <c r="B32" s="58" t="s">
        <v>223</v>
      </c>
      <c r="C32" s="58" t="s">
        <v>224</v>
      </c>
      <c r="D32" s="58" t="s">
        <v>225</v>
      </c>
      <c r="E32" s="58" t="s">
        <v>226</v>
      </c>
      <c r="F32" s="58" t="s">
        <v>227</v>
      </c>
      <c r="G32" s="58"/>
      <c r="H32" s="58"/>
    </row>
    <row r="33" ht="15.75" customHeight="1">
      <c r="A33" s="58">
        <v>2.0</v>
      </c>
      <c r="B33" s="58" t="s">
        <v>228</v>
      </c>
      <c r="C33" s="58" t="s">
        <v>224</v>
      </c>
      <c r="D33" s="58" t="s">
        <v>229</v>
      </c>
      <c r="E33" s="58" t="s">
        <v>230</v>
      </c>
      <c r="F33" s="58" t="s">
        <v>227</v>
      </c>
      <c r="G33" s="58"/>
      <c r="H33" s="58"/>
    </row>
    <row r="34" ht="15.75" customHeight="1">
      <c r="A34" s="58">
        <v>3.0</v>
      </c>
      <c r="B34" s="58" t="s">
        <v>231</v>
      </c>
      <c r="C34" s="58" t="s">
        <v>224</v>
      </c>
      <c r="D34" s="58" t="s">
        <v>232</v>
      </c>
      <c r="E34" s="58" t="s">
        <v>233</v>
      </c>
      <c r="F34" s="58" t="s">
        <v>227</v>
      </c>
      <c r="G34" s="58"/>
      <c r="H34" s="58"/>
    </row>
    <row r="35" ht="15.75" customHeight="1">
      <c r="A35" s="58">
        <v>4.0</v>
      </c>
      <c r="B35" s="58" t="s">
        <v>234</v>
      </c>
      <c r="C35" s="58" t="s">
        <v>224</v>
      </c>
      <c r="D35" s="58" t="s">
        <v>235</v>
      </c>
      <c r="E35" s="58" t="s">
        <v>236</v>
      </c>
      <c r="F35" s="58" t="s">
        <v>227</v>
      </c>
      <c r="G35" s="58"/>
      <c r="H35" s="58"/>
    </row>
    <row r="36" ht="15.75" customHeight="1">
      <c r="A36" s="61" t="s">
        <v>237</v>
      </c>
      <c r="B36" s="2"/>
      <c r="C36" s="2"/>
      <c r="D36" s="2"/>
      <c r="E36" s="2"/>
      <c r="F36" s="2"/>
      <c r="G36" s="2"/>
      <c r="H36" s="3"/>
    </row>
    <row r="37" ht="15.75" customHeight="1">
      <c r="A37" s="30">
        <v>1.0</v>
      </c>
      <c r="B37" s="15"/>
      <c r="C37" s="15"/>
      <c r="D37" s="31"/>
      <c r="E37" s="62" t="str">
        <f t="shared" ref="E37:E51" si="2">IF(D37&lt;&gt;0,IF(C37="Mensuel",D37*12,IF(C37="Trimestriel",D37*4,IF(C37="Annuel",D37,""))),"")</f>
        <v/>
      </c>
      <c r="F37" s="15"/>
    </row>
    <row r="38" ht="15.75" customHeight="1">
      <c r="A38" s="30">
        <v>2.0</v>
      </c>
      <c r="B38" s="15"/>
      <c r="C38" s="15"/>
      <c r="D38" s="31"/>
      <c r="E38" s="62" t="str">
        <f t="shared" si="2"/>
        <v/>
      </c>
      <c r="F38" s="15"/>
    </row>
    <row r="39" ht="15.75" customHeight="1">
      <c r="A39" s="30">
        <v>3.0</v>
      </c>
      <c r="B39" s="15"/>
      <c r="C39" s="15"/>
      <c r="D39" s="31"/>
      <c r="E39" s="62" t="str">
        <f t="shared" si="2"/>
        <v/>
      </c>
      <c r="F39" s="15"/>
    </row>
    <row r="40" ht="15.75" customHeight="1">
      <c r="A40" s="30">
        <v>4.0</v>
      </c>
      <c r="B40" s="15"/>
      <c r="C40" s="15"/>
      <c r="D40" s="31"/>
      <c r="E40" s="62" t="str">
        <f t="shared" si="2"/>
        <v/>
      </c>
      <c r="F40" s="15"/>
    </row>
    <row r="41" ht="15.75" customHeight="1">
      <c r="A41" s="30">
        <v>5.0</v>
      </c>
      <c r="B41" s="15"/>
      <c r="C41" s="15"/>
      <c r="D41" s="31"/>
      <c r="E41" s="62" t="str">
        <f t="shared" si="2"/>
        <v/>
      </c>
      <c r="F41" s="15"/>
    </row>
    <row r="42" ht="15.75" customHeight="1">
      <c r="A42" s="30">
        <v>6.0</v>
      </c>
      <c r="B42" s="15"/>
      <c r="C42" s="15"/>
      <c r="D42" s="31"/>
      <c r="E42" s="62" t="str">
        <f t="shared" si="2"/>
        <v/>
      </c>
      <c r="F42" s="15"/>
    </row>
    <row r="43" ht="15.75" customHeight="1">
      <c r="A43" s="30">
        <v>7.0</v>
      </c>
      <c r="B43" s="15"/>
      <c r="C43" s="15"/>
      <c r="D43" s="31"/>
      <c r="E43" s="62" t="str">
        <f t="shared" si="2"/>
        <v/>
      </c>
      <c r="F43" s="15"/>
    </row>
    <row r="44" ht="15.75" customHeight="1">
      <c r="A44" s="30">
        <v>8.0</v>
      </c>
      <c r="B44" s="15"/>
      <c r="C44" s="15"/>
      <c r="D44" s="31"/>
      <c r="E44" s="62" t="str">
        <f t="shared" si="2"/>
        <v/>
      </c>
      <c r="F44" s="15"/>
    </row>
    <row r="45" ht="15.75" customHeight="1">
      <c r="A45" s="30">
        <v>9.0</v>
      </c>
      <c r="B45" s="15"/>
      <c r="C45" s="15"/>
      <c r="D45" s="31"/>
      <c r="E45" s="62" t="str">
        <f t="shared" si="2"/>
        <v/>
      </c>
      <c r="F45" s="15"/>
    </row>
    <row r="46" ht="15.75" customHeight="1">
      <c r="A46" s="30">
        <v>10.0</v>
      </c>
      <c r="B46" s="15"/>
      <c r="C46" s="15"/>
      <c r="D46" s="31"/>
      <c r="E46" s="62" t="str">
        <f t="shared" si="2"/>
        <v/>
      </c>
      <c r="F46" s="15"/>
    </row>
    <row r="47" ht="15.75" customHeight="1">
      <c r="A47" s="30">
        <v>11.0</v>
      </c>
      <c r="B47" s="15"/>
      <c r="C47" s="15"/>
      <c r="D47" s="31"/>
      <c r="E47" s="62" t="str">
        <f t="shared" si="2"/>
        <v/>
      </c>
      <c r="F47" s="15"/>
    </row>
    <row r="48" ht="15.75" customHeight="1">
      <c r="A48" s="30">
        <v>12.0</v>
      </c>
      <c r="B48" s="15"/>
      <c r="C48" s="15"/>
      <c r="D48" s="31"/>
      <c r="E48" s="62" t="str">
        <f t="shared" si="2"/>
        <v/>
      </c>
      <c r="F48" s="15"/>
    </row>
    <row r="49" ht="15.75" customHeight="1">
      <c r="A49" s="30">
        <v>13.0</v>
      </c>
      <c r="B49" s="15"/>
      <c r="C49" s="15"/>
      <c r="D49" s="31"/>
      <c r="E49" s="62" t="str">
        <f t="shared" si="2"/>
        <v/>
      </c>
      <c r="F49" s="15"/>
    </row>
    <row r="50" ht="15.75" customHeight="1">
      <c r="A50" s="30">
        <v>14.0</v>
      </c>
      <c r="B50" s="15"/>
      <c r="C50" s="15"/>
      <c r="D50" s="31"/>
      <c r="E50" s="62" t="str">
        <f t="shared" si="2"/>
        <v/>
      </c>
      <c r="F50" s="15"/>
    </row>
    <row r="51" ht="15.75" customHeight="1">
      <c r="A51" s="30">
        <v>15.0</v>
      </c>
      <c r="B51" s="15"/>
      <c r="C51" s="15"/>
      <c r="D51" s="31"/>
      <c r="E51" s="62" t="str">
        <f t="shared" si="2"/>
        <v/>
      </c>
      <c r="F51" s="15"/>
    </row>
    <row r="52" ht="15.75" customHeight="1">
      <c r="D52" s="7"/>
      <c r="E52" s="63"/>
    </row>
    <row r="53" ht="15.75" customHeight="1"/>
    <row r="54" ht="15.75" customHeight="1">
      <c r="A54" s="64" t="s">
        <v>238</v>
      </c>
      <c r="B54" s="2"/>
      <c r="C54" s="2"/>
      <c r="D54" s="2"/>
      <c r="E54" s="2"/>
      <c r="F54" s="2"/>
      <c r="G54" s="2"/>
      <c r="H54" s="3"/>
    </row>
    <row r="55" ht="15.75" customHeight="1"/>
    <row r="56" ht="15.75" customHeight="1">
      <c r="D56" s="7"/>
      <c r="E56" s="39"/>
    </row>
    <row r="57" ht="15.75" customHeight="1">
      <c r="D57" s="7"/>
      <c r="E57" s="39"/>
    </row>
    <row r="58" ht="15.75" customHeight="1">
      <c r="D58" s="7"/>
      <c r="E58" s="63"/>
    </row>
    <row r="59" ht="15.75" customHeight="1"/>
    <row r="60" ht="15.75" customHeight="1"/>
    <row r="61" ht="15.75" customHeight="1">
      <c r="A61" s="43" t="s">
        <v>239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"/>
    </row>
    <row r="62" ht="15.75" customHeight="1">
      <c r="A62" s="44" t="s">
        <v>179</v>
      </c>
    </row>
    <row r="63" ht="15.75" customHeight="1"/>
    <row r="64" ht="15.75" customHeight="1">
      <c r="B64" s="45" t="s">
        <v>180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45" t="s">
        <v>181</v>
      </c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7"/>
      <c r="AB64" s="45" t="s">
        <v>182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7"/>
      <c r="AO64" s="45" t="s">
        <v>183</v>
      </c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7"/>
      <c r="BB64" s="45" t="s">
        <v>184</v>
      </c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7"/>
    </row>
    <row r="65" ht="15.75" customHeight="1">
      <c r="A65" s="48" t="s">
        <v>170</v>
      </c>
      <c r="B65" s="49" t="s">
        <v>185</v>
      </c>
      <c r="C65" s="49" t="s">
        <v>186</v>
      </c>
      <c r="D65" s="49" t="s">
        <v>187</v>
      </c>
      <c r="E65" s="49" t="s">
        <v>188</v>
      </c>
      <c r="F65" s="49" t="s">
        <v>189</v>
      </c>
      <c r="G65" s="49" t="s">
        <v>190</v>
      </c>
      <c r="H65" s="49" t="s">
        <v>191</v>
      </c>
      <c r="I65" s="49" t="s">
        <v>192</v>
      </c>
      <c r="J65" s="49" t="s">
        <v>193</v>
      </c>
      <c r="K65" s="49" t="s">
        <v>194</v>
      </c>
      <c r="L65" s="49" t="s">
        <v>195</v>
      </c>
      <c r="M65" s="49" t="s">
        <v>196</v>
      </c>
      <c r="N65" s="50" t="s">
        <v>197</v>
      </c>
      <c r="O65" s="49" t="s">
        <v>185</v>
      </c>
      <c r="P65" s="49" t="s">
        <v>186</v>
      </c>
      <c r="Q65" s="49" t="s">
        <v>187</v>
      </c>
      <c r="R65" s="49" t="s">
        <v>188</v>
      </c>
      <c r="S65" s="49" t="s">
        <v>189</v>
      </c>
      <c r="T65" s="49" t="s">
        <v>190</v>
      </c>
      <c r="U65" s="49" t="s">
        <v>191</v>
      </c>
      <c r="V65" s="49" t="s">
        <v>192</v>
      </c>
      <c r="W65" s="49" t="s">
        <v>193</v>
      </c>
      <c r="X65" s="49" t="s">
        <v>194</v>
      </c>
      <c r="Y65" s="49" t="s">
        <v>195</v>
      </c>
      <c r="Z65" s="49" t="s">
        <v>196</v>
      </c>
      <c r="AA65" s="50" t="s">
        <v>197</v>
      </c>
      <c r="AB65" s="49" t="s">
        <v>185</v>
      </c>
      <c r="AC65" s="49" t="s">
        <v>186</v>
      </c>
      <c r="AD65" s="49" t="s">
        <v>187</v>
      </c>
      <c r="AE65" s="49" t="s">
        <v>188</v>
      </c>
      <c r="AF65" s="49" t="s">
        <v>189</v>
      </c>
      <c r="AG65" s="49" t="s">
        <v>190</v>
      </c>
      <c r="AH65" s="49" t="s">
        <v>191</v>
      </c>
      <c r="AI65" s="49" t="s">
        <v>192</v>
      </c>
      <c r="AJ65" s="49" t="s">
        <v>193</v>
      </c>
      <c r="AK65" s="49" t="s">
        <v>194</v>
      </c>
      <c r="AL65" s="49" t="s">
        <v>195</v>
      </c>
      <c r="AM65" s="49" t="s">
        <v>196</v>
      </c>
      <c r="AN65" s="50" t="s">
        <v>197</v>
      </c>
      <c r="AO65" s="49" t="s">
        <v>185</v>
      </c>
      <c r="AP65" s="49" t="s">
        <v>186</v>
      </c>
      <c r="AQ65" s="49" t="s">
        <v>187</v>
      </c>
      <c r="AR65" s="49" t="s">
        <v>188</v>
      </c>
      <c r="AS65" s="49" t="s">
        <v>189</v>
      </c>
      <c r="AT65" s="49" t="s">
        <v>190</v>
      </c>
      <c r="AU65" s="49" t="s">
        <v>191</v>
      </c>
      <c r="AV65" s="49" t="s">
        <v>192</v>
      </c>
      <c r="AW65" s="49" t="s">
        <v>193</v>
      </c>
      <c r="AX65" s="49" t="s">
        <v>194</v>
      </c>
      <c r="AY65" s="49" t="s">
        <v>195</v>
      </c>
      <c r="AZ65" s="49" t="s">
        <v>196</v>
      </c>
      <c r="BA65" s="50" t="s">
        <v>197</v>
      </c>
      <c r="BB65" s="49" t="s">
        <v>185</v>
      </c>
      <c r="BC65" s="49" t="s">
        <v>186</v>
      </c>
      <c r="BD65" s="49" t="s">
        <v>187</v>
      </c>
      <c r="BE65" s="49" t="s">
        <v>188</v>
      </c>
      <c r="BF65" s="49" t="s">
        <v>189</v>
      </c>
      <c r="BG65" s="49" t="s">
        <v>190</v>
      </c>
      <c r="BH65" s="49" t="s">
        <v>191</v>
      </c>
      <c r="BI65" s="49" t="s">
        <v>192</v>
      </c>
      <c r="BJ65" s="49" t="s">
        <v>193</v>
      </c>
      <c r="BK65" s="49" t="s">
        <v>194</v>
      </c>
      <c r="BL65" s="49" t="s">
        <v>195</v>
      </c>
      <c r="BM65" s="49" t="s">
        <v>196</v>
      </c>
      <c r="BN65" s="50" t="s">
        <v>197</v>
      </c>
    </row>
    <row r="66" ht="15.75" customHeight="1">
      <c r="A66" s="51" t="s">
        <v>240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3">
        <f t="shared" ref="N66:N72" si="3">SUM(B66:M66)</f>
        <v>0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3">
        <f t="shared" ref="AA66:AA72" si="4">SUM(O66:Z66)</f>
        <v>0</v>
      </c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3">
        <f t="shared" ref="AN66:AN72" si="5">SUM(AB66:AM66)</f>
        <v>0</v>
      </c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3">
        <f t="shared" ref="BA66:BA72" si="6">SUM(AO66:AZ66)</f>
        <v>0</v>
      </c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3">
        <f t="shared" ref="BN66:BN72" si="7">SUM(BB66:BM66)</f>
        <v>0</v>
      </c>
    </row>
    <row r="67" ht="15.75" customHeight="1">
      <c r="A67" s="51" t="s">
        <v>241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3">
        <f t="shared" si="3"/>
        <v>0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3">
        <f t="shared" si="4"/>
        <v>0</v>
      </c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3">
        <f t="shared" si="5"/>
        <v>0</v>
      </c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3">
        <f t="shared" si="6"/>
        <v>0</v>
      </c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3">
        <f t="shared" si="7"/>
        <v>0</v>
      </c>
    </row>
    <row r="68" ht="15.75" customHeight="1">
      <c r="A68" s="51" t="s">
        <v>242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3">
        <f t="shared" si="3"/>
        <v>0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3">
        <f t="shared" si="4"/>
        <v>0</v>
      </c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3">
        <f t="shared" si="5"/>
        <v>0</v>
      </c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3">
        <f t="shared" si="6"/>
        <v>0</v>
      </c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3">
        <f t="shared" si="7"/>
        <v>0</v>
      </c>
    </row>
    <row r="69" ht="15.75" customHeight="1">
      <c r="A69" s="51" t="s">
        <v>243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3">
        <f t="shared" si="3"/>
        <v>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3">
        <f t="shared" si="4"/>
        <v>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3">
        <f t="shared" si="5"/>
        <v>0</v>
      </c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3">
        <f t="shared" si="6"/>
        <v>0</v>
      </c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3">
        <f t="shared" si="7"/>
        <v>0</v>
      </c>
    </row>
    <row r="70" ht="15.75" customHeight="1">
      <c r="A70" s="51" t="s">
        <v>244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3">
        <f t="shared" si="3"/>
        <v>0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3">
        <f t="shared" si="4"/>
        <v>0</v>
      </c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3">
        <f t="shared" si="5"/>
        <v>0</v>
      </c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3">
        <f t="shared" si="6"/>
        <v>0</v>
      </c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3">
        <f t="shared" si="7"/>
        <v>0</v>
      </c>
    </row>
    <row r="71" ht="15.75" customHeight="1">
      <c r="A71" s="51" t="s">
        <v>245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3">
        <f t="shared" si="3"/>
        <v>0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3">
        <f t="shared" si="4"/>
        <v>0</v>
      </c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3">
        <f t="shared" si="5"/>
        <v>0</v>
      </c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3">
        <f t="shared" si="6"/>
        <v>0</v>
      </c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3">
        <f t="shared" si="7"/>
        <v>0</v>
      </c>
    </row>
    <row r="72" ht="15.75" customHeight="1">
      <c r="A72" s="54" t="s">
        <v>204</v>
      </c>
      <c r="B72" s="53">
        <f t="shared" ref="B72:M72" si="8">SUM(B66:B71)</f>
        <v>0</v>
      </c>
      <c r="C72" s="53">
        <f t="shared" si="8"/>
        <v>0</v>
      </c>
      <c r="D72" s="53">
        <f t="shared" si="8"/>
        <v>0</v>
      </c>
      <c r="E72" s="53">
        <f t="shared" si="8"/>
        <v>0</v>
      </c>
      <c r="F72" s="53">
        <f t="shared" si="8"/>
        <v>0</v>
      </c>
      <c r="G72" s="53">
        <f t="shared" si="8"/>
        <v>0</v>
      </c>
      <c r="H72" s="53">
        <f t="shared" si="8"/>
        <v>0</v>
      </c>
      <c r="I72" s="53">
        <f t="shared" si="8"/>
        <v>0</v>
      </c>
      <c r="J72" s="53">
        <f t="shared" si="8"/>
        <v>0</v>
      </c>
      <c r="K72" s="53">
        <f t="shared" si="8"/>
        <v>0</v>
      </c>
      <c r="L72" s="53">
        <f t="shared" si="8"/>
        <v>0</v>
      </c>
      <c r="M72" s="53">
        <f t="shared" si="8"/>
        <v>0</v>
      </c>
      <c r="N72" s="55">
        <f t="shared" si="3"/>
        <v>0</v>
      </c>
      <c r="O72" s="53">
        <f t="shared" ref="O72:Z72" si="9">SUM(O66:O71)</f>
        <v>0</v>
      </c>
      <c r="P72" s="53">
        <f t="shared" si="9"/>
        <v>0</v>
      </c>
      <c r="Q72" s="53">
        <f t="shared" si="9"/>
        <v>0</v>
      </c>
      <c r="R72" s="53">
        <f t="shared" si="9"/>
        <v>0</v>
      </c>
      <c r="S72" s="53">
        <f t="shared" si="9"/>
        <v>0</v>
      </c>
      <c r="T72" s="53">
        <f t="shared" si="9"/>
        <v>0</v>
      </c>
      <c r="U72" s="53">
        <f t="shared" si="9"/>
        <v>0</v>
      </c>
      <c r="V72" s="53">
        <f t="shared" si="9"/>
        <v>0</v>
      </c>
      <c r="W72" s="53">
        <f t="shared" si="9"/>
        <v>0</v>
      </c>
      <c r="X72" s="53">
        <f t="shared" si="9"/>
        <v>0</v>
      </c>
      <c r="Y72" s="53">
        <f t="shared" si="9"/>
        <v>0</v>
      </c>
      <c r="Z72" s="53">
        <f t="shared" si="9"/>
        <v>0</v>
      </c>
      <c r="AA72" s="55">
        <f t="shared" si="4"/>
        <v>0</v>
      </c>
      <c r="AB72" s="53">
        <f t="shared" ref="AB72:AM72" si="10">SUM(AB66:AB71)</f>
        <v>0</v>
      </c>
      <c r="AC72" s="53">
        <f t="shared" si="10"/>
        <v>0</v>
      </c>
      <c r="AD72" s="53">
        <f t="shared" si="10"/>
        <v>0</v>
      </c>
      <c r="AE72" s="53">
        <f t="shared" si="10"/>
        <v>0</v>
      </c>
      <c r="AF72" s="53">
        <f t="shared" si="10"/>
        <v>0</v>
      </c>
      <c r="AG72" s="53">
        <f t="shared" si="10"/>
        <v>0</v>
      </c>
      <c r="AH72" s="53">
        <f t="shared" si="10"/>
        <v>0</v>
      </c>
      <c r="AI72" s="53">
        <f t="shared" si="10"/>
        <v>0</v>
      </c>
      <c r="AJ72" s="53">
        <f t="shared" si="10"/>
        <v>0</v>
      </c>
      <c r="AK72" s="53">
        <f t="shared" si="10"/>
        <v>0</v>
      </c>
      <c r="AL72" s="53">
        <f t="shared" si="10"/>
        <v>0</v>
      </c>
      <c r="AM72" s="53">
        <f t="shared" si="10"/>
        <v>0</v>
      </c>
      <c r="AN72" s="55">
        <f t="shared" si="5"/>
        <v>0</v>
      </c>
      <c r="AO72" s="53">
        <f t="shared" ref="AO72:AZ72" si="11">SUM(AO66:AO71)</f>
        <v>0</v>
      </c>
      <c r="AP72" s="53">
        <f t="shared" si="11"/>
        <v>0</v>
      </c>
      <c r="AQ72" s="53">
        <f t="shared" si="11"/>
        <v>0</v>
      </c>
      <c r="AR72" s="53">
        <f t="shared" si="11"/>
        <v>0</v>
      </c>
      <c r="AS72" s="53">
        <f t="shared" si="11"/>
        <v>0</v>
      </c>
      <c r="AT72" s="53">
        <f t="shared" si="11"/>
        <v>0</v>
      </c>
      <c r="AU72" s="53">
        <f t="shared" si="11"/>
        <v>0</v>
      </c>
      <c r="AV72" s="53">
        <f t="shared" si="11"/>
        <v>0</v>
      </c>
      <c r="AW72" s="53">
        <f t="shared" si="11"/>
        <v>0</v>
      </c>
      <c r="AX72" s="53">
        <f t="shared" si="11"/>
        <v>0</v>
      </c>
      <c r="AY72" s="53">
        <f t="shared" si="11"/>
        <v>0</v>
      </c>
      <c r="AZ72" s="53">
        <f t="shared" si="11"/>
        <v>0</v>
      </c>
      <c r="BA72" s="55">
        <f t="shared" si="6"/>
        <v>0</v>
      </c>
      <c r="BB72" s="53">
        <f t="shared" ref="BB72:BM72" si="12">SUM(BB66:BB71)</f>
        <v>0</v>
      </c>
      <c r="BC72" s="53">
        <f t="shared" si="12"/>
        <v>0</v>
      </c>
      <c r="BD72" s="53">
        <f t="shared" si="12"/>
        <v>0</v>
      </c>
      <c r="BE72" s="53">
        <f t="shared" si="12"/>
        <v>0</v>
      </c>
      <c r="BF72" s="53">
        <f t="shared" si="12"/>
        <v>0</v>
      </c>
      <c r="BG72" s="53">
        <f t="shared" si="12"/>
        <v>0</v>
      </c>
      <c r="BH72" s="53">
        <f t="shared" si="12"/>
        <v>0</v>
      </c>
      <c r="BI72" s="53">
        <f t="shared" si="12"/>
        <v>0</v>
      </c>
      <c r="BJ72" s="53">
        <f t="shared" si="12"/>
        <v>0</v>
      </c>
      <c r="BK72" s="53">
        <f t="shared" si="12"/>
        <v>0</v>
      </c>
      <c r="BL72" s="53">
        <f t="shared" si="12"/>
        <v>0</v>
      </c>
      <c r="BM72" s="53">
        <f t="shared" si="12"/>
        <v>0</v>
      </c>
      <c r="BN72" s="55">
        <f t="shared" si="7"/>
        <v>0</v>
      </c>
    </row>
    <row r="73" ht="15.75" customHeight="1"/>
    <row r="74" ht="15.75" customHeight="1">
      <c r="A74" s="56" t="s">
        <v>205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"/>
    </row>
    <row r="75" ht="15.75" customHeight="1"/>
    <row r="76" ht="15.75" customHeight="1">
      <c r="A76" s="43" t="s">
        <v>246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"/>
    </row>
    <row r="77" ht="15.75" customHeight="1">
      <c r="A77" s="44" t="s">
        <v>179</v>
      </c>
    </row>
    <row r="78" ht="15.75" customHeight="1"/>
    <row r="79" ht="15.75" customHeight="1">
      <c r="B79" s="45" t="s">
        <v>180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  <c r="O79" s="45" t="s">
        <v>181</v>
      </c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7"/>
      <c r="AB79" s="45" t="s">
        <v>182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7"/>
      <c r="AO79" s="45" t="s">
        <v>183</v>
      </c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  <c r="BB79" s="45" t="s">
        <v>184</v>
      </c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7"/>
    </row>
    <row r="80" ht="15.75" customHeight="1">
      <c r="A80" s="48" t="s">
        <v>170</v>
      </c>
      <c r="B80" s="49" t="s">
        <v>185</v>
      </c>
      <c r="C80" s="49" t="s">
        <v>186</v>
      </c>
      <c r="D80" s="49" t="s">
        <v>187</v>
      </c>
      <c r="E80" s="49" t="s">
        <v>188</v>
      </c>
      <c r="F80" s="49" t="s">
        <v>189</v>
      </c>
      <c r="G80" s="49" t="s">
        <v>190</v>
      </c>
      <c r="H80" s="49" t="s">
        <v>191</v>
      </c>
      <c r="I80" s="49" t="s">
        <v>192</v>
      </c>
      <c r="J80" s="49" t="s">
        <v>193</v>
      </c>
      <c r="K80" s="49" t="s">
        <v>194</v>
      </c>
      <c r="L80" s="49" t="s">
        <v>195</v>
      </c>
      <c r="M80" s="49" t="s">
        <v>196</v>
      </c>
      <c r="N80" s="50" t="s">
        <v>197</v>
      </c>
      <c r="O80" s="49" t="s">
        <v>185</v>
      </c>
      <c r="P80" s="49" t="s">
        <v>186</v>
      </c>
      <c r="Q80" s="49" t="s">
        <v>187</v>
      </c>
      <c r="R80" s="49" t="s">
        <v>188</v>
      </c>
      <c r="S80" s="49" t="s">
        <v>189</v>
      </c>
      <c r="T80" s="49" t="s">
        <v>190</v>
      </c>
      <c r="U80" s="49" t="s">
        <v>191</v>
      </c>
      <c r="V80" s="49" t="s">
        <v>192</v>
      </c>
      <c r="W80" s="49" t="s">
        <v>193</v>
      </c>
      <c r="X80" s="49" t="s">
        <v>194</v>
      </c>
      <c r="Y80" s="49" t="s">
        <v>195</v>
      </c>
      <c r="Z80" s="49" t="s">
        <v>196</v>
      </c>
      <c r="AA80" s="50" t="s">
        <v>197</v>
      </c>
      <c r="AB80" s="49" t="s">
        <v>185</v>
      </c>
      <c r="AC80" s="49" t="s">
        <v>186</v>
      </c>
      <c r="AD80" s="49" t="s">
        <v>187</v>
      </c>
      <c r="AE80" s="49" t="s">
        <v>188</v>
      </c>
      <c r="AF80" s="49" t="s">
        <v>189</v>
      </c>
      <c r="AG80" s="49" t="s">
        <v>190</v>
      </c>
      <c r="AH80" s="49" t="s">
        <v>191</v>
      </c>
      <c r="AI80" s="49" t="s">
        <v>192</v>
      </c>
      <c r="AJ80" s="49" t="s">
        <v>193</v>
      </c>
      <c r="AK80" s="49" t="s">
        <v>194</v>
      </c>
      <c r="AL80" s="49" t="s">
        <v>195</v>
      </c>
      <c r="AM80" s="49" t="s">
        <v>196</v>
      </c>
      <c r="AN80" s="50" t="s">
        <v>197</v>
      </c>
      <c r="AO80" s="49" t="s">
        <v>185</v>
      </c>
      <c r="AP80" s="49" t="s">
        <v>186</v>
      </c>
      <c r="AQ80" s="49" t="s">
        <v>187</v>
      </c>
      <c r="AR80" s="49" t="s">
        <v>188</v>
      </c>
      <c r="AS80" s="49" t="s">
        <v>189</v>
      </c>
      <c r="AT80" s="49" t="s">
        <v>190</v>
      </c>
      <c r="AU80" s="49" t="s">
        <v>191</v>
      </c>
      <c r="AV80" s="49" t="s">
        <v>192</v>
      </c>
      <c r="AW80" s="49" t="s">
        <v>193</v>
      </c>
      <c r="AX80" s="49" t="s">
        <v>194</v>
      </c>
      <c r="AY80" s="49" t="s">
        <v>195</v>
      </c>
      <c r="AZ80" s="49" t="s">
        <v>196</v>
      </c>
      <c r="BA80" s="50" t="s">
        <v>197</v>
      </c>
      <c r="BB80" s="49" t="s">
        <v>185</v>
      </c>
      <c r="BC80" s="49" t="s">
        <v>186</v>
      </c>
      <c r="BD80" s="49" t="s">
        <v>187</v>
      </c>
      <c r="BE80" s="49" t="s">
        <v>188</v>
      </c>
      <c r="BF80" s="49" t="s">
        <v>189</v>
      </c>
      <c r="BG80" s="49" t="s">
        <v>190</v>
      </c>
      <c r="BH80" s="49" t="s">
        <v>191</v>
      </c>
      <c r="BI80" s="49" t="s">
        <v>192</v>
      </c>
      <c r="BJ80" s="49" t="s">
        <v>193</v>
      </c>
      <c r="BK80" s="49" t="s">
        <v>194</v>
      </c>
      <c r="BL80" s="49" t="s">
        <v>195</v>
      </c>
      <c r="BM80" s="49" t="s">
        <v>196</v>
      </c>
      <c r="BN80" s="50" t="s">
        <v>197</v>
      </c>
    </row>
    <row r="81" ht="15.75" customHeight="1">
      <c r="A81" s="51" t="s">
        <v>247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3">
        <f t="shared" ref="N81:N89" si="13">SUM(B81:M81)</f>
        <v>0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3">
        <f t="shared" ref="AA81:AA89" si="14">SUM(O81:Z81)</f>
        <v>0</v>
      </c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3">
        <f t="shared" ref="AN81:AN89" si="15">SUM(AB81:AM81)</f>
        <v>0</v>
      </c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3">
        <f t="shared" ref="BA81:BA89" si="16">SUM(AO81:AZ81)</f>
        <v>0</v>
      </c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3">
        <f t="shared" ref="BN81:BN89" si="17">SUM(BB81:BM81)</f>
        <v>0</v>
      </c>
    </row>
    <row r="82" ht="15.75" customHeight="1">
      <c r="A82" s="51" t="s">
        <v>248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3">
        <f t="shared" si="13"/>
        <v>0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3">
        <f t="shared" si="14"/>
        <v>0</v>
      </c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3">
        <f t="shared" si="15"/>
        <v>0</v>
      </c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3">
        <f t="shared" si="16"/>
        <v>0</v>
      </c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3">
        <f t="shared" si="17"/>
        <v>0</v>
      </c>
    </row>
    <row r="83" ht="15.75" customHeight="1">
      <c r="A83" s="51" t="s">
        <v>249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3">
        <f t="shared" si="13"/>
        <v>0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3">
        <f t="shared" si="14"/>
        <v>0</v>
      </c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3">
        <f t="shared" si="15"/>
        <v>0</v>
      </c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3">
        <f t="shared" si="16"/>
        <v>0</v>
      </c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3">
        <f t="shared" si="17"/>
        <v>0</v>
      </c>
    </row>
    <row r="84" ht="15.75" customHeight="1">
      <c r="A84" s="51" t="s">
        <v>250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3">
        <f t="shared" si="13"/>
        <v>0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3">
        <f t="shared" si="14"/>
        <v>0</v>
      </c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3">
        <f t="shared" si="15"/>
        <v>0</v>
      </c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3">
        <f t="shared" si="16"/>
        <v>0</v>
      </c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3">
        <f t="shared" si="17"/>
        <v>0</v>
      </c>
    </row>
    <row r="85" ht="15.75" customHeight="1">
      <c r="A85" s="51" t="s">
        <v>251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3">
        <f t="shared" si="13"/>
        <v>0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3">
        <f t="shared" si="14"/>
        <v>0</v>
      </c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3">
        <f t="shared" si="15"/>
        <v>0</v>
      </c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3">
        <f t="shared" si="16"/>
        <v>0</v>
      </c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3">
        <f t="shared" si="17"/>
        <v>0</v>
      </c>
    </row>
    <row r="86" ht="15.75" customHeight="1">
      <c r="A86" s="51" t="s">
        <v>234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3">
        <f t="shared" si="13"/>
        <v>0</v>
      </c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3">
        <f t="shared" si="14"/>
        <v>0</v>
      </c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3">
        <f t="shared" si="15"/>
        <v>0</v>
      </c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3">
        <f t="shared" si="16"/>
        <v>0</v>
      </c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3">
        <f t="shared" si="17"/>
        <v>0</v>
      </c>
    </row>
    <row r="87" ht="15.75" customHeight="1">
      <c r="A87" s="51" t="s">
        <v>252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3">
        <f t="shared" si="13"/>
        <v>0</v>
      </c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3">
        <f t="shared" si="14"/>
        <v>0</v>
      </c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3">
        <f t="shared" si="15"/>
        <v>0</v>
      </c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3">
        <f t="shared" si="16"/>
        <v>0</v>
      </c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3">
        <f t="shared" si="17"/>
        <v>0</v>
      </c>
    </row>
    <row r="88" ht="15.75" customHeight="1">
      <c r="A88" s="51" t="s">
        <v>253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3">
        <f t="shared" si="13"/>
        <v>0</v>
      </c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3">
        <f t="shared" si="14"/>
        <v>0</v>
      </c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3">
        <f t="shared" si="15"/>
        <v>0</v>
      </c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3">
        <f t="shared" si="16"/>
        <v>0</v>
      </c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3">
        <f t="shared" si="17"/>
        <v>0</v>
      </c>
    </row>
    <row r="89" ht="15.75" customHeight="1">
      <c r="A89" s="54" t="s">
        <v>204</v>
      </c>
      <c r="B89" s="53">
        <f t="shared" ref="B89:M89" si="18">SUM(B81:B88)</f>
        <v>0</v>
      </c>
      <c r="C89" s="53">
        <f t="shared" si="18"/>
        <v>0</v>
      </c>
      <c r="D89" s="53">
        <f t="shared" si="18"/>
        <v>0</v>
      </c>
      <c r="E89" s="53">
        <f t="shared" si="18"/>
        <v>0</v>
      </c>
      <c r="F89" s="53">
        <f t="shared" si="18"/>
        <v>0</v>
      </c>
      <c r="G89" s="53">
        <f t="shared" si="18"/>
        <v>0</v>
      </c>
      <c r="H89" s="53">
        <f t="shared" si="18"/>
        <v>0</v>
      </c>
      <c r="I89" s="53">
        <f t="shared" si="18"/>
        <v>0</v>
      </c>
      <c r="J89" s="53">
        <f t="shared" si="18"/>
        <v>0</v>
      </c>
      <c r="K89" s="53">
        <f t="shared" si="18"/>
        <v>0</v>
      </c>
      <c r="L89" s="53">
        <f t="shared" si="18"/>
        <v>0</v>
      </c>
      <c r="M89" s="53">
        <f t="shared" si="18"/>
        <v>0</v>
      </c>
      <c r="N89" s="55">
        <f t="shared" si="13"/>
        <v>0</v>
      </c>
      <c r="O89" s="53">
        <f t="shared" ref="O89:Z89" si="19">SUM(O81:O88)</f>
        <v>0</v>
      </c>
      <c r="P89" s="53">
        <f t="shared" si="19"/>
        <v>0</v>
      </c>
      <c r="Q89" s="53">
        <f t="shared" si="19"/>
        <v>0</v>
      </c>
      <c r="R89" s="53">
        <f t="shared" si="19"/>
        <v>0</v>
      </c>
      <c r="S89" s="53">
        <f t="shared" si="19"/>
        <v>0</v>
      </c>
      <c r="T89" s="53">
        <f t="shared" si="19"/>
        <v>0</v>
      </c>
      <c r="U89" s="53">
        <f t="shared" si="19"/>
        <v>0</v>
      </c>
      <c r="V89" s="53">
        <f t="shared" si="19"/>
        <v>0</v>
      </c>
      <c r="W89" s="53">
        <f t="shared" si="19"/>
        <v>0</v>
      </c>
      <c r="X89" s="53">
        <f t="shared" si="19"/>
        <v>0</v>
      </c>
      <c r="Y89" s="53">
        <f t="shared" si="19"/>
        <v>0</v>
      </c>
      <c r="Z89" s="53">
        <f t="shared" si="19"/>
        <v>0</v>
      </c>
      <c r="AA89" s="55">
        <f t="shared" si="14"/>
        <v>0</v>
      </c>
      <c r="AB89" s="53">
        <f t="shared" ref="AB89:AM89" si="20">SUM(AB81:AB88)</f>
        <v>0</v>
      </c>
      <c r="AC89" s="53">
        <f t="shared" si="20"/>
        <v>0</v>
      </c>
      <c r="AD89" s="53">
        <f t="shared" si="20"/>
        <v>0</v>
      </c>
      <c r="AE89" s="53">
        <f t="shared" si="20"/>
        <v>0</v>
      </c>
      <c r="AF89" s="53">
        <f t="shared" si="20"/>
        <v>0</v>
      </c>
      <c r="AG89" s="53">
        <f t="shared" si="20"/>
        <v>0</v>
      </c>
      <c r="AH89" s="53">
        <f t="shared" si="20"/>
        <v>0</v>
      </c>
      <c r="AI89" s="53">
        <f t="shared" si="20"/>
        <v>0</v>
      </c>
      <c r="AJ89" s="53">
        <f t="shared" si="20"/>
        <v>0</v>
      </c>
      <c r="AK89" s="53">
        <f t="shared" si="20"/>
        <v>0</v>
      </c>
      <c r="AL89" s="53">
        <f t="shared" si="20"/>
        <v>0</v>
      </c>
      <c r="AM89" s="53">
        <f t="shared" si="20"/>
        <v>0</v>
      </c>
      <c r="AN89" s="55">
        <f t="shared" si="15"/>
        <v>0</v>
      </c>
      <c r="AO89" s="53">
        <f t="shared" ref="AO89:AZ89" si="21">SUM(AO81:AO88)</f>
        <v>0</v>
      </c>
      <c r="AP89" s="53">
        <f t="shared" si="21"/>
        <v>0</v>
      </c>
      <c r="AQ89" s="53">
        <f t="shared" si="21"/>
        <v>0</v>
      </c>
      <c r="AR89" s="53">
        <f t="shared" si="21"/>
        <v>0</v>
      </c>
      <c r="AS89" s="53">
        <f t="shared" si="21"/>
        <v>0</v>
      </c>
      <c r="AT89" s="53">
        <f t="shared" si="21"/>
        <v>0</v>
      </c>
      <c r="AU89" s="53">
        <f t="shared" si="21"/>
        <v>0</v>
      </c>
      <c r="AV89" s="53">
        <f t="shared" si="21"/>
        <v>0</v>
      </c>
      <c r="AW89" s="53">
        <f t="shared" si="21"/>
        <v>0</v>
      </c>
      <c r="AX89" s="53">
        <f t="shared" si="21"/>
        <v>0</v>
      </c>
      <c r="AY89" s="53">
        <f t="shared" si="21"/>
        <v>0</v>
      </c>
      <c r="AZ89" s="53">
        <f t="shared" si="21"/>
        <v>0</v>
      </c>
      <c r="BA89" s="55">
        <f t="shared" si="16"/>
        <v>0</v>
      </c>
      <c r="BB89" s="53">
        <f t="shared" ref="BB89:BM89" si="22">SUM(BB81:BB88)</f>
        <v>0</v>
      </c>
      <c r="BC89" s="53">
        <f t="shared" si="22"/>
        <v>0</v>
      </c>
      <c r="BD89" s="53">
        <f t="shared" si="22"/>
        <v>0</v>
      </c>
      <c r="BE89" s="53">
        <f t="shared" si="22"/>
        <v>0</v>
      </c>
      <c r="BF89" s="53">
        <f t="shared" si="22"/>
        <v>0</v>
      </c>
      <c r="BG89" s="53">
        <f t="shared" si="22"/>
        <v>0</v>
      </c>
      <c r="BH89" s="53">
        <f t="shared" si="22"/>
        <v>0</v>
      </c>
      <c r="BI89" s="53">
        <f t="shared" si="22"/>
        <v>0</v>
      </c>
      <c r="BJ89" s="53">
        <f t="shared" si="22"/>
        <v>0</v>
      </c>
      <c r="BK89" s="53">
        <f t="shared" si="22"/>
        <v>0</v>
      </c>
      <c r="BL89" s="53">
        <f t="shared" si="22"/>
        <v>0</v>
      </c>
      <c r="BM89" s="53">
        <f t="shared" si="22"/>
        <v>0</v>
      </c>
      <c r="BN89" s="55">
        <f t="shared" si="17"/>
        <v>0</v>
      </c>
    </row>
    <row r="90" ht="15.75" customHeight="1"/>
    <row r="91" ht="15.75" customHeight="1">
      <c r="A91" s="56" t="s">
        <v>205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H1"/>
    <mergeCell ref="A3:H3"/>
    <mergeCell ref="A5:H5"/>
    <mergeCell ref="A11:H11"/>
    <mergeCell ref="A29:H29"/>
    <mergeCell ref="A36:H36"/>
    <mergeCell ref="A54:H54"/>
    <mergeCell ref="A61:BI61"/>
    <mergeCell ref="A62:BI62"/>
    <mergeCell ref="B64:N64"/>
    <mergeCell ref="O64:AA64"/>
    <mergeCell ref="AB64:AN64"/>
    <mergeCell ref="AO64:BA64"/>
    <mergeCell ref="BB64:BN64"/>
    <mergeCell ref="AO79:BA79"/>
    <mergeCell ref="A91:BI91"/>
    <mergeCell ref="A74:BI74"/>
    <mergeCell ref="A76:BI76"/>
    <mergeCell ref="A77:BI77"/>
    <mergeCell ref="B79:N79"/>
    <mergeCell ref="O79:AA79"/>
    <mergeCell ref="AB79:AN79"/>
    <mergeCell ref="BB79:BN7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15.0"/>
    <col customWidth="1" min="4" max="4" width="18.0"/>
    <col customWidth="1" min="5" max="5" width="15.0"/>
    <col customWidth="1" min="6" max="26" width="8.86"/>
  </cols>
  <sheetData>
    <row r="1">
      <c r="A1" s="65" t="s">
        <v>254</v>
      </c>
      <c r="B1" s="2"/>
      <c r="C1" s="2"/>
      <c r="D1" s="2"/>
      <c r="E1" s="3"/>
    </row>
    <row r="2">
      <c r="A2" s="44" t="s">
        <v>255</v>
      </c>
    </row>
    <row r="5">
      <c r="A5" s="66" t="s">
        <v>256</v>
      </c>
      <c r="B5" s="2"/>
      <c r="C5" s="2"/>
      <c r="D5" s="2"/>
      <c r="E5" s="3"/>
    </row>
    <row r="7">
      <c r="A7" s="67" t="s">
        <v>257</v>
      </c>
    </row>
    <row r="8">
      <c r="A8" s="68" t="s">
        <v>258</v>
      </c>
      <c r="B8" s="11"/>
      <c r="C8" s="69" t="s">
        <v>259</v>
      </c>
      <c r="D8" s="70" t="s">
        <v>260</v>
      </c>
    </row>
    <row r="9">
      <c r="A9" s="68" t="s">
        <v>261</v>
      </c>
      <c r="B9" s="11"/>
      <c r="C9" s="69" t="s">
        <v>259</v>
      </c>
      <c r="D9" s="70" t="s">
        <v>260</v>
      </c>
    </row>
    <row r="10">
      <c r="A10" s="68" t="s">
        <v>262</v>
      </c>
      <c r="B10" s="11"/>
      <c r="C10" s="69" t="s">
        <v>259</v>
      </c>
      <c r="D10" s="70" t="s">
        <v>260</v>
      </c>
    </row>
    <row r="12">
      <c r="A12" s="67" t="s">
        <v>263</v>
      </c>
    </row>
    <row r="13">
      <c r="A13" s="68" t="s">
        <v>264</v>
      </c>
      <c r="B13" s="11"/>
      <c r="C13" s="69" t="s">
        <v>265</v>
      </c>
      <c r="D13" s="71" t="s">
        <v>266</v>
      </c>
    </row>
    <row r="16">
      <c r="A16" s="66" t="s">
        <v>267</v>
      </c>
      <c r="B16" s="2"/>
      <c r="C16" s="2"/>
      <c r="D16" s="2"/>
      <c r="E16" s="3"/>
    </row>
    <row r="18">
      <c r="A18" s="72" t="s">
        <v>268</v>
      </c>
      <c r="B18" s="72" t="s">
        <v>269</v>
      </c>
      <c r="C18" s="72" t="s">
        <v>270</v>
      </c>
      <c r="D18" s="72" t="s">
        <v>271</v>
      </c>
      <c r="E18" s="72" t="s">
        <v>272</v>
      </c>
    </row>
    <row r="19">
      <c r="A19" s="68" t="s">
        <v>273</v>
      </c>
      <c r="B19" s="73"/>
      <c r="C19" s="73"/>
      <c r="D19" s="73"/>
      <c r="E19" s="74" t="s">
        <v>274</v>
      </c>
    </row>
    <row r="20">
      <c r="A20" s="68" t="s">
        <v>275</v>
      </c>
      <c r="B20" s="73"/>
      <c r="C20" s="73"/>
      <c r="D20" s="73"/>
      <c r="E20" s="74" t="s">
        <v>274</v>
      </c>
    </row>
    <row r="21" ht="15.75" customHeight="1">
      <c r="A21" s="68" t="s">
        <v>276</v>
      </c>
      <c r="B21" s="73"/>
      <c r="C21" s="73"/>
      <c r="D21" s="73"/>
      <c r="E21" s="74" t="s">
        <v>274</v>
      </c>
    </row>
    <row r="22" ht="15.75" customHeight="1">
      <c r="A22" s="68" t="s">
        <v>277</v>
      </c>
      <c r="B22" s="73"/>
      <c r="C22" s="73"/>
      <c r="D22" s="73"/>
      <c r="E22" s="74"/>
    </row>
    <row r="23" ht="15.75" customHeight="1">
      <c r="A23" s="68" t="s">
        <v>278</v>
      </c>
      <c r="B23" s="73"/>
      <c r="C23" s="73"/>
      <c r="D23" s="73"/>
      <c r="E23" s="74"/>
    </row>
    <row r="24" ht="15.75" customHeight="1">
      <c r="A24" s="68" t="s">
        <v>279</v>
      </c>
      <c r="B24" s="73"/>
      <c r="C24" s="73"/>
      <c r="D24" s="73"/>
      <c r="E24" s="74"/>
    </row>
    <row r="25" ht="15.75" customHeight="1">
      <c r="A25" s="68" t="s">
        <v>280</v>
      </c>
      <c r="B25" s="73"/>
      <c r="C25" s="73"/>
      <c r="D25" s="73"/>
      <c r="E25" s="74"/>
    </row>
    <row r="26" ht="15.75" customHeight="1">
      <c r="A26" s="68" t="s">
        <v>281</v>
      </c>
      <c r="B26" s="73"/>
      <c r="C26" s="73"/>
      <c r="D26" s="73"/>
      <c r="E26" s="74"/>
    </row>
    <row r="27" ht="15.75" customHeight="1"/>
    <row r="28" ht="15.75" customHeight="1"/>
    <row r="29" ht="15.75" customHeight="1">
      <c r="A29" s="66" t="s">
        <v>282</v>
      </c>
      <c r="B29" s="2"/>
      <c r="C29" s="2"/>
      <c r="D29" s="2"/>
      <c r="E29" s="3"/>
    </row>
    <row r="30" ht="15.75" customHeight="1"/>
    <row r="31" ht="15.75" customHeight="1">
      <c r="A31" s="67" t="s">
        <v>283</v>
      </c>
    </row>
    <row r="32" ht="15.75" customHeight="1">
      <c r="A32" s="68" t="s">
        <v>284</v>
      </c>
      <c r="B32" s="11"/>
      <c r="C32" s="69" t="s">
        <v>265</v>
      </c>
    </row>
    <row r="33" ht="15.75" customHeight="1"/>
    <row r="34" ht="15.75" customHeight="1">
      <c r="A34" s="67" t="s">
        <v>285</v>
      </c>
    </row>
    <row r="35" ht="15.75" customHeight="1">
      <c r="A35" s="68" t="s">
        <v>286</v>
      </c>
      <c r="B35" s="11"/>
      <c r="C35" s="69" t="s">
        <v>265</v>
      </c>
    </row>
    <row r="36" ht="15.75" customHeight="1"/>
    <row r="37" ht="15.75" customHeight="1">
      <c r="A37" s="67" t="s">
        <v>287</v>
      </c>
    </row>
    <row r="38" ht="15.75" customHeight="1">
      <c r="A38" s="72" t="s">
        <v>288</v>
      </c>
      <c r="B38" s="72" t="s">
        <v>269</v>
      </c>
      <c r="C38" s="72" t="s">
        <v>289</v>
      </c>
      <c r="D38" s="72" t="s">
        <v>290</v>
      </c>
      <c r="E38" s="72" t="s">
        <v>291</v>
      </c>
    </row>
    <row r="39" ht="15.75" customHeight="1">
      <c r="A39" s="68" t="s">
        <v>292</v>
      </c>
      <c r="B39" s="73"/>
      <c r="C39" s="73"/>
      <c r="D39" s="73"/>
      <c r="E39" s="73"/>
    </row>
    <row r="40" ht="15.75" customHeight="1">
      <c r="A40" s="68" t="s">
        <v>293</v>
      </c>
      <c r="B40" s="73"/>
      <c r="C40" s="73"/>
      <c r="D40" s="73"/>
      <c r="E40" s="73"/>
    </row>
    <row r="41" ht="15.75" customHeight="1">
      <c r="A41" s="68" t="s">
        <v>294</v>
      </c>
      <c r="B41" s="73"/>
      <c r="C41" s="73"/>
      <c r="D41" s="73"/>
      <c r="E41" s="73"/>
    </row>
    <row r="42" ht="15.75" customHeight="1">
      <c r="A42" s="68" t="s">
        <v>295</v>
      </c>
      <c r="B42" s="73"/>
      <c r="C42" s="73"/>
      <c r="D42" s="73"/>
      <c r="E42" s="73"/>
    </row>
    <row r="43" ht="15.75" customHeight="1">
      <c r="A43" s="68" t="s">
        <v>296</v>
      </c>
      <c r="B43" s="73"/>
      <c r="C43" s="73"/>
      <c r="D43" s="73"/>
      <c r="E43" s="73"/>
    </row>
    <row r="44" ht="15.75" customHeight="1"/>
    <row r="45" ht="15.75" customHeight="1"/>
    <row r="46" ht="15.75" customHeight="1">
      <c r="A46" s="67" t="s">
        <v>297</v>
      </c>
    </row>
    <row r="47" ht="15.75" customHeight="1">
      <c r="A47" s="68" t="s">
        <v>298</v>
      </c>
      <c r="B47" s="11"/>
      <c r="C47" s="69" t="s">
        <v>265</v>
      </c>
    </row>
    <row r="48" ht="15.75" customHeight="1">
      <c r="A48" s="68" t="s">
        <v>299</v>
      </c>
      <c r="B48" s="11"/>
      <c r="C48" s="69" t="s">
        <v>265</v>
      </c>
    </row>
    <row r="49" ht="15.75" customHeight="1"/>
    <row r="50" ht="15.75" customHeight="1"/>
    <row r="51" ht="15.75" customHeight="1">
      <c r="A51" s="56" t="s">
        <v>300</v>
      </c>
      <c r="B51" s="2"/>
      <c r="C51" s="2"/>
      <c r="D51" s="2"/>
      <c r="E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6:E16"/>
    <mergeCell ref="A29:E29"/>
    <mergeCell ref="C32:E32"/>
    <mergeCell ref="C35:E35"/>
    <mergeCell ref="C47:E47"/>
    <mergeCell ref="C48:E48"/>
    <mergeCell ref="A51:E51"/>
    <mergeCell ref="A1:E1"/>
    <mergeCell ref="A2:E2"/>
    <mergeCell ref="A5:E5"/>
    <mergeCell ref="D8:E8"/>
    <mergeCell ref="D9:E9"/>
    <mergeCell ref="D10:E10"/>
    <mergeCell ref="D13:E1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6.43"/>
    <col customWidth="1" min="3" max="3" width="17.43"/>
    <col customWidth="1" min="4" max="66" width="10.0"/>
  </cols>
  <sheetData>
    <row r="1" ht="30.0" customHeight="1">
      <c r="A1" s="1" t="s">
        <v>301</v>
      </c>
      <c r="B1" s="2"/>
      <c r="C1" s="2"/>
      <c r="D1" s="2"/>
      <c r="E1" s="2"/>
      <c r="F1" s="3"/>
    </row>
    <row r="3">
      <c r="A3" s="27" t="s">
        <v>302</v>
      </c>
      <c r="B3" s="2"/>
      <c r="C3" s="2"/>
      <c r="D3" s="2"/>
      <c r="E3" s="2"/>
      <c r="F3" s="3"/>
    </row>
    <row r="5">
      <c r="A5" s="4" t="s">
        <v>303</v>
      </c>
      <c r="B5" s="2"/>
      <c r="C5" s="2"/>
      <c r="D5" s="2"/>
      <c r="E5" s="2"/>
      <c r="F5" s="3"/>
    </row>
    <row r="7">
      <c r="A7" s="28" t="s">
        <v>304</v>
      </c>
      <c r="B7" s="28" t="s">
        <v>305</v>
      </c>
      <c r="C7" s="28" t="s">
        <v>306</v>
      </c>
      <c r="E7" s="16" t="s">
        <v>307</v>
      </c>
      <c r="F7" s="16" t="s">
        <v>308</v>
      </c>
    </row>
    <row r="8">
      <c r="A8" s="14" t="s">
        <v>309</v>
      </c>
      <c r="B8" s="31"/>
      <c r="C8" s="75"/>
      <c r="E8" s="16" t="s">
        <v>310</v>
      </c>
      <c r="F8" s="16" t="s">
        <v>311</v>
      </c>
    </row>
    <row r="9">
      <c r="A9" s="14" t="s">
        <v>312</v>
      </c>
      <c r="B9" s="31"/>
      <c r="C9" s="75" t="str">
        <f t="shared" ref="C9:C12" si="1">IF(B11&lt;&gt;0,((B11-B10)/B10)*100,"")</f>
        <v/>
      </c>
      <c r="E9" s="16" t="s">
        <v>313</v>
      </c>
      <c r="F9" s="16" t="s">
        <v>314</v>
      </c>
    </row>
    <row r="10">
      <c r="A10" s="14" t="s">
        <v>315</v>
      </c>
      <c r="B10" s="31"/>
      <c r="C10" s="75" t="str">
        <f t="shared" si="1"/>
        <v/>
      </c>
      <c r="E10" s="16" t="s">
        <v>316</v>
      </c>
      <c r="F10" s="16" t="s">
        <v>317</v>
      </c>
    </row>
    <row r="11">
      <c r="A11" s="14" t="s">
        <v>318</v>
      </c>
      <c r="B11" s="31"/>
      <c r="C11" s="75" t="str">
        <f t="shared" si="1"/>
        <v/>
      </c>
      <c r="E11" s="16" t="s">
        <v>319</v>
      </c>
      <c r="F11" s="16" t="s">
        <v>320</v>
      </c>
    </row>
    <row r="12">
      <c r="A12" s="14" t="s">
        <v>321</v>
      </c>
      <c r="B12" s="31"/>
      <c r="C12" s="75" t="str">
        <f t="shared" si="1"/>
        <v/>
      </c>
      <c r="E12" s="16" t="s">
        <v>322</v>
      </c>
      <c r="F12" s="16" t="s">
        <v>323</v>
      </c>
    </row>
    <row r="15">
      <c r="A15" s="4" t="s">
        <v>324</v>
      </c>
      <c r="B15" s="2"/>
      <c r="C15" s="2"/>
      <c r="D15" s="2"/>
      <c r="E15" s="2"/>
      <c r="F15" s="3"/>
    </row>
    <row r="17">
      <c r="A17" s="14" t="s">
        <v>325</v>
      </c>
      <c r="B17" s="30" t="s">
        <v>326</v>
      </c>
      <c r="C17" s="76"/>
      <c r="E17" s="16" t="s">
        <v>327</v>
      </c>
    </row>
    <row r="18">
      <c r="A18" s="14" t="s">
        <v>328</v>
      </c>
      <c r="B18" s="30" t="s">
        <v>326</v>
      </c>
      <c r="C18" s="76"/>
      <c r="E18" s="16" t="s">
        <v>329</v>
      </c>
    </row>
    <row r="19">
      <c r="A19" s="14" t="s">
        <v>330</v>
      </c>
      <c r="B19" s="30" t="s">
        <v>326</v>
      </c>
      <c r="C19" s="76"/>
      <c r="E19" s="16" t="s">
        <v>331</v>
      </c>
    </row>
    <row r="20">
      <c r="A20" s="14" t="s">
        <v>332</v>
      </c>
      <c r="B20" s="30" t="s">
        <v>326</v>
      </c>
      <c r="C20" s="76"/>
      <c r="E20" s="16" t="s">
        <v>333</v>
      </c>
    </row>
    <row r="21" ht="15.75" customHeight="1">
      <c r="A21" s="14" t="s">
        <v>334</v>
      </c>
      <c r="B21" s="30" t="s">
        <v>326</v>
      </c>
      <c r="C21" s="76"/>
      <c r="E21" s="16" t="s">
        <v>335</v>
      </c>
    </row>
    <row r="22" ht="15.75" customHeight="1">
      <c r="A22" s="14" t="s">
        <v>336</v>
      </c>
      <c r="B22" s="30" t="s">
        <v>326</v>
      </c>
      <c r="C22" s="76"/>
      <c r="E22" s="16" t="s">
        <v>337</v>
      </c>
    </row>
    <row r="23" ht="15.75" customHeight="1"/>
    <row r="24" ht="15.75" customHeight="1"/>
    <row r="25" ht="15.75" customHeight="1">
      <c r="A25" s="43" t="s">
        <v>338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"/>
    </row>
    <row r="26" ht="15.75" customHeight="1">
      <c r="A26" s="44" t="s">
        <v>179</v>
      </c>
    </row>
    <row r="27" ht="15.75" customHeight="1"/>
    <row r="28" ht="15.75" customHeight="1">
      <c r="B28" s="45" t="s">
        <v>180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45" t="s">
        <v>181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7"/>
      <c r="AB28" s="45" t="s">
        <v>182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7"/>
      <c r="AO28" s="45" t="s">
        <v>183</v>
      </c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7"/>
      <c r="BB28" s="45" t="s">
        <v>184</v>
      </c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7"/>
    </row>
    <row r="29" ht="15.75" customHeight="1">
      <c r="A29" s="48" t="s">
        <v>170</v>
      </c>
      <c r="B29" s="49" t="s">
        <v>185</v>
      </c>
      <c r="C29" s="49" t="s">
        <v>186</v>
      </c>
      <c r="D29" s="49" t="s">
        <v>187</v>
      </c>
      <c r="E29" s="49" t="s">
        <v>188</v>
      </c>
      <c r="F29" s="49" t="s">
        <v>189</v>
      </c>
      <c r="G29" s="49" t="s">
        <v>190</v>
      </c>
      <c r="H29" s="49" t="s">
        <v>191</v>
      </c>
      <c r="I29" s="49" t="s">
        <v>192</v>
      </c>
      <c r="J29" s="49" t="s">
        <v>193</v>
      </c>
      <c r="K29" s="49" t="s">
        <v>194</v>
      </c>
      <c r="L29" s="49" t="s">
        <v>195</v>
      </c>
      <c r="M29" s="49" t="s">
        <v>196</v>
      </c>
      <c r="N29" s="50" t="s">
        <v>197</v>
      </c>
      <c r="O29" s="49" t="s">
        <v>185</v>
      </c>
      <c r="P29" s="49" t="s">
        <v>186</v>
      </c>
      <c r="Q29" s="49" t="s">
        <v>187</v>
      </c>
      <c r="R29" s="49" t="s">
        <v>188</v>
      </c>
      <c r="S29" s="49" t="s">
        <v>189</v>
      </c>
      <c r="T29" s="49" t="s">
        <v>190</v>
      </c>
      <c r="U29" s="49" t="s">
        <v>191</v>
      </c>
      <c r="V29" s="49" t="s">
        <v>192</v>
      </c>
      <c r="W29" s="49" t="s">
        <v>193</v>
      </c>
      <c r="X29" s="49" t="s">
        <v>194</v>
      </c>
      <c r="Y29" s="49" t="s">
        <v>195</v>
      </c>
      <c r="Z29" s="49" t="s">
        <v>196</v>
      </c>
      <c r="AA29" s="50" t="s">
        <v>197</v>
      </c>
      <c r="AB29" s="49" t="s">
        <v>185</v>
      </c>
      <c r="AC29" s="49" t="s">
        <v>186</v>
      </c>
      <c r="AD29" s="49" t="s">
        <v>187</v>
      </c>
      <c r="AE29" s="49" t="s">
        <v>188</v>
      </c>
      <c r="AF29" s="49" t="s">
        <v>189</v>
      </c>
      <c r="AG29" s="49" t="s">
        <v>190</v>
      </c>
      <c r="AH29" s="49" t="s">
        <v>191</v>
      </c>
      <c r="AI29" s="49" t="s">
        <v>192</v>
      </c>
      <c r="AJ29" s="49" t="s">
        <v>193</v>
      </c>
      <c r="AK29" s="49" t="s">
        <v>194</v>
      </c>
      <c r="AL29" s="49" t="s">
        <v>195</v>
      </c>
      <c r="AM29" s="49" t="s">
        <v>196</v>
      </c>
      <c r="AN29" s="50" t="s">
        <v>197</v>
      </c>
      <c r="AO29" s="49" t="s">
        <v>185</v>
      </c>
      <c r="AP29" s="49" t="s">
        <v>186</v>
      </c>
      <c r="AQ29" s="49" t="s">
        <v>187</v>
      </c>
      <c r="AR29" s="49" t="s">
        <v>188</v>
      </c>
      <c r="AS29" s="49" t="s">
        <v>189</v>
      </c>
      <c r="AT29" s="49" t="s">
        <v>190</v>
      </c>
      <c r="AU29" s="49" t="s">
        <v>191</v>
      </c>
      <c r="AV29" s="49" t="s">
        <v>192</v>
      </c>
      <c r="AW29" s="49" t="s">
        <v>193</v>
      </c>
      <c r="AX29" s="49" t="s">
        <v>194</v>
      </c>
      <c r="AY29" s="49" t="s">
        <v>195</v>
      </c>
      <c r="AZ29" s="49" t="s">
        <v>196</v>
      </c>
      <c r="BA29" s="50" t="s">
        <v>197</v>
      </c>
      <c r="BB29" s="49" t="s">
        <v>185</v>
      </c>
      <c r="BC29" s="49" t="s">
        <v>186</v>
      </c>
      <c r="BD29" s="49" t="s">
        <v>187</v>
      </c>
      <c r="BE29" s="49" t="s">
        <v>188</v>
      </c>
      <c r="BF29" s="49" t="s">
        <v>189</v>
      </c>
      <c r="BG29" s="49" t="s">
        <v>190</v>
      </c>
      <c r="BH29" s="49" t="s">
        <v>191</v>
      </c>
      <c r="BI29" s="49" t="s">
        <v>192</v>
      </c>
      <c r="BJ29" s="49" t="s">
        <v>193</v>
      </c>
      <c r="BK29" s="49" t="s">
        <v>194</v>
      </c>
      <c r="BL29" s="49" t="s">
        <v>195</v>
      </c>
      <c r="BM29" s="49" t="s">
        <v>196</v>
      </c>
      <c r="BN29" s="50" t="s">
        <v>197</v>
      </c>
    </row>
    <row r="30" ht="15.75" customHeight="1">
      <c r="A30" s="51" t="s">
        <v>339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3">
        <f t="shared" ref="N30:N35" si="2">SUM(B30:M30)</f>
        <v>0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>
        <f t="shared" ref="AA30:AA35" si="3">SUM(O30:Z30)</f>
        <v>0</v>
      </c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3">
        <f t="shared" ref="AN30:AN35" si="4">SUM(AB30:AM30)</f>
        <v>0</v>
      </c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3">
        <f t="shared" ref="BA30:BA35" si="5">SUM(AO30:AZ30)</f>
        <v>0</v>
      </c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3">
        <f t="shared" ref="BN30:BN35" si="6">SUM(BB30:BM30)</f>
        <v>0</v>
      </c>
    </row>
    <row r="31" ht="15.75" customHeight="1">
      <c r="A31" s="51" t="s">
        <v>340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3">
        <f t="shared" si="2"/>
        <v>0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>
        <f t="shared" si="3"/>
        <v>0</v>
      </c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3">
        <f t="shared" si="4"/>
        <v>0</v>
      </c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3">
        <f t="shared" si="5"/>
        <v>0</v>
      </c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3">
        <f t="shared" si="6"/>
        <v>0</v>
      </c>
    </row>
    <row r="32" ht="15.75" customHeight="1">
      <c r="A32" s="51" t="s">
        <v>341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3">
        <f t="shared" si="2"/>
        <v>0</v>
      </c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>
        <f t="shared" si="3"/>
        <v>0</v>
      </c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3">
        <f t="shared" si="4"/>
        <v>0</v>
      </c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3">
        <f t="shared" si="5"/>
        <v>0</v>
      </c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3">
        <f t="shared" si="6"/>
        <v>0</v>
      </c>
    </row>
    <row r="33" ht="15.75" customHeight="1">
      <c r="A33" s="51" t="s">
        <v>342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>
        <f t="shared" si="2"/>
        <v>0</v>
      </c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3">
        <f t="shared" si="3"/>
        <v>0</v>
      </c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3">
        <f t="shared" si="4"/>
        <v>0</v>
      </c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3">
        <f t="shared" si="5"/>
        <v>0</v>
      </c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3">
        <f t="shared" si="6"/>
        <v>0</v>
      </c>
    </row>
    <row r="34" ht="15.75" customHeight="1">
      <c r="A34" s="51" t="s">
        <v>343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>
        <f t="shared" si="2"/>
        <v>0</v>
      </c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3">
        <f t="shared" si="3"/>
        <v>0</v>
      </c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3">
        <f t="shared" si="4"/>
        <v>0</v>
      </c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3">
        <f t="shared" si="5"/>
        <v>0</v>
      </c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3">
        <f t="shared" si="6"/>
        <v>0</v>
      </c>
    </row>
    <row r="35" ht="15.75" customHeight="1">
      <c r="A35" s="54" t="s">
        <v>204</v>
      </c>
      <c r="B35" s="53">
        <f t="shared" ref="B35:M35" si="7">SUM(B30:B34)</f>
        <v>0</v>
      </c>
      <c r="C35" s="53">
        <f t="shared" si="7"/>
        <v>0</v>
      </c>
      <c r="D35" s="53">
        <f t="shared" si="7"/>
        <v>0</v>
      </c>
      <c r="E35" s="53">
        <f t="shared" si="7"/>
        <v>0</v>
      </c>
      <c r="F35" s="53">
        <f t="shared" si="7"/>
        <v>0</v>
      </c>
      <c r="G35" s="53">
        <f t="shared" si="7"/>
        <v>0</v>
      </c>
      <c r="H35" s="53">
        <f t="shared" si="7"/>
        <v>0</v>
      </c>
      <c r="I35" s="53">
        <f t="shared" si="7"/>
        <v>0</v>
      </c>
      <c r="J35" s="53">
        <f t="shared" si="7"/>
        <v>0</v>
      </c>
      <c r="K35" s="53">
        <f t="shared" si="7"/>
        <v>0</v>
      </c>
      <c r="L35" s="53">
        <f t="shared" si="7"/>
        <v>0</v>
      </c>
      <c r="M35" s="53">
        <f t="shared" si="7"/>
        <v>0</v>
      </c>
      <c r="N35" s="55">
        <f t="shared" si="2"/>
        <v>0</v>
      </c>
      <c r="O35" s="53">
        <f t="shared" ref="O35:Z35" si="8">SUM(O30:O34)</f>
        <v>0</v>
      </c>
      <c r="P35" s="53">
        <f t="shared" si="8"/>
        <v>0</v>
      </c>
      <c r="Q35" s="53">
        <f t="shared" si="8"/>
        <v>0</v>
      </c>
      <c r="R35" s="53">
        <f t="shared" si="8"/>
        <v>0</v>
      </c>
      <c r="S35" s="53">
        <f t="shared" si="8"/>
        <v>0</v>
      </c>
      <c r="T35" s="53">
        <f t="shared" si="8"/>
        <v>0</v>
      </c>
      <c r="U35" s="53">
        <f t="shared" si="8"/>
        <v>0</v>
      </c>
      <c r="V35" s="53">
        <f t="shared" si="8"/>
        <v>0</v>
      </c>
      <c r="W35" s="53">
        <f t="shared" si="8"/>
        <v>0</v>
      </c>
      <c r="X35" s="53">
        <f t="shared" si="8"/>
        <v>0</v>
      </c>
      <c r="Y35" s="53">
        <f t="shared" si="8"/>
        <v>0</v>
      </c>
      <c r="Z35" s="53">
        <f t="shared" si="8"/>
        <v>0</v>
      </c>
      <c r="AA35" s="55">
        <f t="shared" si="3"/>
        <v>0</v>
      </c>
      <c r="AB35" s="53">
        <f t="shared" ref="AB35:AM35" si="9">SUM(AB30:AB34)</f>
        <v>0</v>
      </c>
      <c r="AC35" s="53">
        <f t="shared" si="9"/>
        <v>0</v>
      </c>
      <c r="AD35" s="53">
        <f t="shared" si="9"/>
        <v>0</v>
      </c>
      <c r="AE35" s="53">
        <f t="shared" si="9"/>
        <v>0</v>
      </c>
      <c r="AF35" s="53">
        <f t="shared" si="9"/>
        <v>0</v>
      </c>
      <c r="AG35" s="53">
        <f t="shared" si="9"/>
        <v>0</v>
      </c>
      <c r="AH35" s="53">
        <f t="shared" si="9"/>
        <v>0</v>
      </c>
      <c r="AI35" s="53">
        <f t="shared" si="9"/>
        <v>0</v>
      </c>
      <c r="AJ35" s="53">
        <f t="shared" si="9"/>
        <v>0</v>
      </c>
      <c r="AK35" s="53">
        <f t="shared" si="9"/>
        <v>0</v>
      </c>
      <c r="AL35" s="53">
        <f t="shared" si="9"/>
        <v>0</v>
      </c>
      <c r="AM35" s="53">
        <f t="shared" si="9"/>
        <v>0</v>
      </c>
      <c r="AN35" s="55">
        <f t="shared" si="4"/>
        <v>0</v>
      </c>
      <c r="AO35" s="53">
        <f t="shared" ref="AO35:AZ35" si="10">SUM(AO30:AO34)</f>
        <v>0</v>
      </c>
      <c r="AP35" s="53">
        <f t="shared" si="10"/>
        <v>0</v>
      </c>
      <c r="AQ35" s="53">
        <f t="shared" si="10"/>
        <v>0</v>
      </c>
      <c r="AR35" s="53">
        <f t="shared" si="10"/>
        <v>0</v>
      </c>
      <c r="AS35" s="53">
        <f t="shared" si="10"/>
        <v>0</v>
      </c>
      <c r="AT35" s="53">
        <f t="shared" si="10"/>
        <v>0</v>
      </c>
      <c r="AU35" s="53">
        <f t="shared" si="10"/>
        <v>0</v>
      </c>
      <c r="AV35" s="53">
        <f t="shared" si="10"/>
        <v>0</v>
      </c>
      <c r="AW35" s="53">
        <f t="shared" si="10"/>
        <v>0</v>
      </c>
      <c r="AX35" s="53">
        <f t="shared" si="10"/>
        <v>0</v>
      </c>
      <c r="AY35" s="53">
        <f t="shared" si="10"/>
        <v>0</v>
      </c>
      <c r="AZ35" s="53">
        <f t="shared" si="10"/>
        <v>0</v>
      </c>
      <c r="BA35" s="55">
        <f t="shared" si="5"/>
        <v>0</v>
      </c>
      <c r="BB35" s="53">
        <f t="shared" ref="BB35:BM35" si="11">SUM(BB30:BB34)</f>
        <v>0</v>
      </c>
      <c r="BC35" s="53">
        <f t="shared" si="11"/>
        <v>0</v>
      </c>
      <c r="BD35" s="53">
        <f t="shared" si="11"/>
        <v>0</v>
      </c>
      <c r="BE35" s="53">
        <f t="shared" si="11"/>
        <v>0</v>
      </c>
      <c r="BF35" s="53">
        <f t="shared" si="11"/>
        <v>0</v>
      </c>
      <c r="BG35" s="53">
        <f t="shared" si="11"/>
        <v>0</v>
      </c>
      <c r="BH35" s="53">
        <f t="shared" si="11"/>
        <v>0</v>
      </c>
      <c r="BI35" s="53">
        <f t="shared" si="11"/>
        <v>0</v>
      </c>
      <c r="BJ35" s="53">
        <f t="shared" si="11"/>
        <v>0</v>
      </c>
      <c r="BK35" s="53">
        <f t="shared" si="11"/>
        <v>0</v>
      </c>
      <c r="BL35" s="53">
        <f t="shared" si="11"/>
        <v>0</v>
      </c>
      <c r="BM35" s="53">
        <f t="shared" si="11"/>
        <v>0</v>
      </c>
      <c r="BN35" s="55">
        <f t="shared" si="6"/>
        <v>0</v>
      </c>
    </row>
    <row r="36" ht="15.75" customHeight="1"/>
    <row r="37" ht="15.75" customHeight="1">
      <c r="A37" s="56" t="s">
        <v>205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"/>
    </row>
    <row r="38" ht="15.75" customHeight="1"/>
    <row r="39" ht="15.75" customHeight="1">
      <c r="A39" s="43" t="s">
        <v>344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"/>
    </row>
    <row r="40" ht="15.75" customHeight="1">
      <c r="A40" s="44" t="s">
        <v>179</v>
      </c>
    </row>
    <row r="41" ht="15.75" customHeight="1"/>
    <row r="42" ht="15.75" customHeight="1">
      <c r="B42" s="45" t="s">
        <v>180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45" t="s">
        <v>181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7"/>
      <c r="AB42" s="45" t="s">
        <v>182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7"/>
      <c r="AO42" s="45" t="s">
        <v>183</v>
      </c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7"/>
      <c r="BB42" s="45" t="s">
        <v>184</v>
      </c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7"/>
    </row>
    <row r="43" ht="15.75" customHeight="1">
      <c r="A43" s="48" t="s">
        <v>170</v>
      </c>
      <c r="B43" s="49" t="s">
        <v>185</v>
      </c>
      <c r="C43" s="49" t="s">
        <v>186</v>
      </c>
      <c r="D43" s="49" t="s">
        <v>187</v>
      </c>
      <c r="E43" s="49" t="s">
        <v>188</v>
      </c>
      <c r="F43" s="49" t="s">
        <v>189</v>
      </c>
      <c r="G43" s="49" t="s">
        <v>190</v>
      </c>
      <c r="H43" s="49" t="s">
        <v>191</v>
      </c>
      <c r="I43" s="49" t="s">
        <v>192</v>
      </c>
      <c r="J43" s="49" t="s">
        <v>193</v>
      </c>
      <c r="K43" s="49" t="s">
        <v>194</v>
      </c>
      <c r="L43" s="49" t="s">
        <v>195</v>
      </c>
      <c r="M43" s="49" t="s">
        <v>196</v>
      </c>
      <c r="N43" s="50" t="s">
        <v>197</v>
      </c>
      <c r="O43" s="49" t="s">
        <v>185</v>
      </c>
      <c r="P43" s="49" t="s">
        <v>186</v>
      </c>
      <c r="Q43" s="49" t="s">
        <v>187</v>
      </c>
      <c r="R43" s="49" t="s">
        <v>188</v>
      </c>
      <c r="S43" s="49" t="s">
        <v>189</v>
      </c>
      <c r="T43" s="49" t="s">
        <v>190</v>
      </c>
      <c r="U43" s="49" t="s">
        <v>191</v>
      </c>
      <c r="V43" s="49" t="s">
        <v>192</v>
      </c>
      <c r="W43" s="49" t="s">
        <v>193</v>
      </c>
      <c r="X43" s="49" t="s">
        <v>194</v>
      </c>
      <c r="Y43" s="49" t="s">
        <v>195</v>
      </c>
      <c r="Z43" s="49" t="s">
        <v>196</v>
      </c>
      <c r="AA43" s="50" t="s">
        <v>197</v>
      </c>
      <c r="AB43" s="49" t="s">
        <v>185</v>
      </c>
      <c r="AC43" s="49" t="s">
        <v>186</v>
      </c>
      <c r="AD43" s="49" t="s">
        <v>187</v>
      </c>
      <c r="AE43" s="49" t="s">
        <v>188</v>
      </c>
      <c r="AF43" s="49" t="s">
        <v>189</v>
      </c>
      <c r="AG43" s="49" t="s">
        <v>190</v>
      </c>
      <c r="AH43" s="49" t="s">
        <v>191</v>
      </c>
      <c r="AI43" s="49" t="s">
        <v>192</v>
      </c>
      <c r="AJ43" s="49" t="s">
        <v>193</v>
      </c>
      <c r="AK43" s="49" t="s">
        <v>194</v>
      </c>
      <c r="AL43" s="49" t="s">
        <v>195</v>
      </c>
      <c r="AM43" s="49" t="s">
        <v>196</v>
      </c>
      <c r="AN43" s="50" t="s">
        <v>197</v>
      </c>
      <c r="AO43" s="49" t="s">
        <v>185</v>
      </c>
      <c r="AP43" s="49" t="s">
        <v>186</v>
      </c>
      <c r="AQ43" s="49" t="s">
        <v>187</v>
      </c>
      <c r="AR43" s="49" t="s">
        <v>188</v>
      </c>
      <c r="AS43" s="49" t="s">
        <v>189</v>
      </c>
      <c r="AT43" s="49" t="s">
        <v>190</v>
      </c>
      <c r="AU43" s="49" t="s">
        <v>191</v>
      </c>
      <c r="AV43" s="49" t="s">
        <v>192</v>
      </c>
      <c r="AW43" s="49" t="s">
        <v>193</v>
      </c>
      <c r="AX43" s="49" t="s">
        <v>194</v>
      </c>
      <c r="AY43" s="49" t="s">
        <v>195</v>
      </c>
      <c r="AZ43" s="49" t="s">
        <v>196</v>
      </c>
      <c r="BA43" s="50" t="s">
        <v>197</v>
      </c>
      <c r="BB43" s="49" t="s">
        <v>185</v>
      </c>
      <c r="BC43" s="49" t="s">
        <v>186</v>
      </c>
      <c r="BD43" s="49" t="s">
        <v>187</v>
      </c>
      <c r="BE43" s="49" t="s">
        <v>188</v>
      </c>
      <c r="BF43" s="49" t="s">
        <v>189</v>
      </c>
      <c r="BG43" s="49" t="s">
        <v>190</v>
      </c>
      <c r="BH43" s="49" t="s">
        <v>191</v>
      </c>
      <c r="BI43" s="49" t="s">
        <v>192</v>
      </c>
      <c r="BJ43" s="49" t="s">
        <v>193</v>
      </c>
      <c r="BK43" s="49" t="s">
        <v>194</v>
      </c>
      <c r="BL43" s="49" t="s">
        <v>195</v>
      </c>
      <c r="BM43" s="49" t="s">
        <v>196</v>
      </c>
      <c r="BN43" s="50" t="s">
        <v>197</v>
      </c>
    </row>
    <row r="44" ht="15.75" customHeight="1">
      <c r="A44" s="51" t="s">
        <v>345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>
        <f t="shared" ref="N44:N49" si="12">SUM(B44:M44)</f>
        <v>0</v>
      </c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>
        <f t="shared" ref="AA44:AA49" si="13">SUM(O44:Z44)</f>
        <v>0</v>
      </c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>
        <f t="shared" ref="AN44:AN49" si="14">SUM(AB44:AM44)</f>
        <v>0</v>
      </c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3">
        <f t="shared" ref="BA44:BA49" si="15">SUM(AO44:AZ44)</f>
        <v>0</v>
      </c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3">
        <f t="shared" ref="BN44:BN49" si="16">SUM(BB44:BM44)</f>
        <v>0</v>
      </c>
    </row>
    <row r="45" ht="15.75" customHeight="1">
      <c r="A45" s="51" t="s">
        <v>346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3">
        <f t="shared" si="12"/>
        <v>0</v>
      </c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>
        <f t="shared" si="13"/>
        <v>0</v>
      </c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3">
        <f t="shared" si="14"/>
        <v>0</v>
      </c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3">
        <f t="shared" si="15"/>
        <v>0</v>
      </c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3">
        <f t="shared" si="16"/>
        <v>0</v>
      </c>
    </row>
    <row r="46" ht="15.75" customHeight="1">
      <c r="A46" s="51" t="s">
        <v>347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3">
        <f t="shared" si="12"/>
        <v>0</v>
      </c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>
        <f t="shared" si="13"/>
        <v>0</v>
      </c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3">
        <f t="shared" si="14"/>
        <v>0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3">
        <f t="shared" si="15"/>
        <v>0</v>
      </c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3">
        <f t="shared" si="16"/>
        <v>0</v>
      </c>
    </row>
    <row r="47" ht="15.75" customHeight="1">
      <c r="A47" s="51" t="s">
        <v>348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3">
        <f t="shared" si="12"/>
        <v>0</v>
      </c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3">
        <f t="shared" si="13"/>
        <v>0</v>
      </c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3">
        <f t="shared" si="14"/>
        <v>0</v>
      </c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3">
        <f t="shared" si="15"/>
        <v>0</v>
      </c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3">
        <f t="shared" si="16"/>
        <v>0</v>
      </c>
    </row>
    <row r="48" ht="15.75" customHeight="1">
      <c r="A48" s="51" t="s">
        <v>349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>
        <f t="shared" si="12"/>
        <v>0</v>
      </c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3">
        <f t="shared" si="13"/>
        <v>0</v>
      </c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3">
        <f t="shared" si="14"/>
        <v>0</v>
      </c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3">
        <f t="shared" si="15"/>
        <v>0</v>
      </c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3">
        <f t="shared" si="16"/>
        <v>0</v>
      </c>
    </row>
    <row r="49" ht="15.75" customHeight="1">
      <c r="A49" s="54" t="s">
        <v>204</v>
      </c>
      <c r="B49" s="53">
        <f t="shared" ref="B49:M49" si="17">SUM(B44:B48)</f>
        <v>0</v>
      </c>
      <c r="C49" s="53">
        <f t="shared" si="17"/>
        <v>0</v>
      </c>
      <c r="D49" s="53">
        <f t="shared" si="17"/>
        <v>0</v>
      </c>
      <c r="E49" s="53">
        <f t="shared" si="17"/>
        <v>0</v>
      </c>
      <c r="F49" s="53">
        <f t="shared" si="17"/>
        <v>0</v>
      </c>
      <c r="G49" s="53">
        <f t="shared" si="17"/>
        <v>0</v>
      </c>
      <c r="H49" s="53">
        <f t="shared" si="17"/>
        <v>0</v>
      </c>
      <c r="I49" s="53">
        <f t="shared" si="17"/>
        <v>0</v>
      </c>
      <c r="J49" s="53">
        <f t="shared" si="17"/>
        <v>0</v>
      </c>
      <c r="K49" s="53">
        <f t="shared" si="17"/>
        <v>0</v>
      </c>
      <c r="L49" s="53">
        <f t="shared" si="17"/>
        <v>0</v>
      </c>
      <c r="M49" s="53">
        <f t="shared" si="17"/>
        <v>0</v>
      </c>
      <c r="N49" s="55">
        <f t="shared" si="12"/>
        <v>0</v>
      </c>
      <c r="O49" s="53">
        <f t="shared" ref="O49:Z49" si="18">SUM(O44:O48)</f>
        <v>0</v>
      </c>
      <c r="P49" s="53">
        <f t="shared" si="18"/>
        <v>0</v>
      </c>
      <c r="Q49" s="53">
        <f t="shared" si="18"/>
        <v>0</v>
      </c>
      <c r="R49" s="53">
        <f t="shared" si="18"/>
        <v>0</v>
      </c>
      <c r="S49" s="53">
        <f t="shared" si="18"/>
        <v>0</v>
      </c>
      <c r="T49" s="53">
        <f t="shared" si="18"/>
        <v>0</v>
      </c>
      <c r="U49" s="53">
        <f t="shared" si="18"/>
        <v>0</v>
      </c>
      <c r="V49" s="53">
        <f t="shared" si="18"/>
        <v>0</v>
      </c>
      <c r="W49" s="53">
        <f t="shared" si="18"/>
        <v>0</v>
      </c>
      <c r="X49" s="53">
        <f t="shared" si="18"/>
        <v>0</v>
      </c>
      <c r="Y49" s="53">
        <f t="shared" si="18"/>
        <v>0</v>
      </c>
      <c r="Z49" s="53">
        <f t="shared" si="18"/>
        <v>0</v>
      </c>
      <c r="AA49" s="55">
        <f t="shared" si="13"/>
        <v>0</v>
      </c>
      <c r="AB49" s="53">
        <f t="shared" ref="AB49:AM49" si="19">SUM(AB44:AB48)</f>
        <v>0</v>
      </c>
      <c r="AC49" s="53">
        <f t="shared" si="19"/>
        <v>0</v>
      </c>
      <c r="AD49" s="53">
        <f t="shared" si="19"/>
        <v>0</v>
      </c>
      <c r="AE49" s="53">
        <f t="shared" si="19"/>
        <v>0</v>
      </c>
      <c r="AF49" s="53">
        <f t="shared" si="19"/>
        <v>0</v>
      </c>
      <c r="AG49" s="53">
        <f t="shared" si="19"/>
        <v>0</v>
      </c>
      <c r="AH49" s="53">
        <f t="shared" si="19"/>
        <v>0</v>
      </c>
      <c r="AI49" s="53">
        <f t="shared" si="19"/>
        <v>0</v>
      </c>
      <c r="AJ49" s="53">
        <f t="shared" si="19"/>
        <v>0</v>
      </c>
      <c r="AK49" s="53">
        <f t="shared" si="19"/>
        <v>0</v>
      </c>
      <c r="AL49" s="53">
        <f t="shared" si="19"/>
        <v>0</v>
      </c>
      <c r="AM49" s="53">
        <f t="shared" si="19"/>
        <v>0</v>
      </c>
      <c r="AN49" s="55">
        <f t="shared" si="14"/>
        <v>0</v>
      </c>
      <c r="AO49" s="53">
        <f t="shared" ref="AO49:AZ49" si="20">SUM(AO44:AO48)</f>
        <v>0</v>
      </c>
      <c r="AP49" s="53">
        <f t="shared" si="20"/>
        <v>0</v>
      </c>
      <c r="AQ49" s="53">
        <f t="shared" si="20"/>
        <v>0</v>
      </c>
      <c r="AR49" s="53">
        <f t="shared" si="20"/>
        <v>0</v>
      </c>
      <c r="AS49" s="53">
        <f t="shared" si="20"/>
        <v>0</v>
      </c>
      <c r="AT49" s="53">
        <f t="shared" si="20"/>
        <v>0</v>
      </c>
      <c r="AU49" s="53">
        <f t="shared" si="20"/>
        <v>0</v>
      </c>
      <c r="AV49" s="53">
        <f t="shared" si="20"/>
        <v>0</v>
      </c>
      <c r="AW49" s="53">
        <f t="shared" si="20"/>
        <v>0</v>
      </c>
      <c r="AX49" s="53">
        <f t="shared" si="20"/>
        <v>0</v>
      </c>
      <c r="AY49" s="53">
        <f t="shared" si="20"/>
        <v>0</v>
      </c>
      <c r="AZ49" s="53">
        <f t="shared" si="20"/>
        <v>0</v>
      </c>
      <c r="BA49" s="55">
        <f t="shared" si="15"/>
        <v>0</v>
      </c>
      <c r="BB49" s="53">
        <f t="shared" ref="BB49:BM49" si="21">SUM(BB44:BB48)</f>
        <v>0</v>
      </c>
      <c r="BC49" s="53">
        <f t="shared" si="21"/>
        <v>0</v>
      </c>
      <c r="BD49" s="53">
        <f t="shared" si="21"/>
        <v>0</v>
      </c>
      <c r="BE49" s="53">
        <f t="shared" si="21"/>
        <v>0</v>
      </c>
      <c r="BF49" s="53">
        <f t="shared" si="21"/>
        <v>0</v>
      </c>
      <c r="BG49" s="53">
        <f t="shared" si="21"/>
        <v>0</v>
      </c>
      <c r="BH49" s="53">
        <f t="shared" si="21"/>
        <v>0</v>
      </c>
      <c r="BI49" s="53">
        <f t="shared" si="21"/>
        <v>0</v>
      </c>
      <c r="BJ49" s="53">
        <f t="shared" si="21"/>
        <v>0</v>
      </c>
      <c r="BK49" s="53">
        <f t="shared" si="21"/>
        <v>0</v>
      </c>
      <c r="BL49" s="53">
        <f t="shared" si="21"/>
        <v>0</v>
      </c>
      <c r="BM49" s="53">
        <f t="shared" si="21"/>
        <v>0</v>
      </c>
      <c r="BN49" s="55">
        <f t="shared" si="16"/>
        <v>0</v>
      </c>
    </row>
    <row r="50" ht="15.75" customHeight="1"/>
    <row r="51" ht="15.75" customHeight="1">
      <c r="A51" s="56" t="s">
        <v>205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O28:AA28"/>
    <mergeCell ref="AB28:AN28"/>
    <mergeCell ref="BB28:BN28"/>
    <mergeCell ref="A1:F1"/>
    <mergeCell ref="A3:F3"/>
    <mergeCell ref="A5:F5"/>
    <mergeCell ref="A15:F15"/>
    <mergeCell ref="A25:BI25"/>
    <mergeCell ref="A26:BI26"/>
    <mergeCell ref="B28:N28"/>
    <mergeCell ref="AO42:BA42"/>
    <mergeCell ref="BB42:BN42"/>
    <mergeCell ref="AO28:BA28"/>
    <mergeCell ref="A37:BI37"/>
    <mergeCell ref="A39:BI39"/>
    <mergeCell ref="A40:BI40"/>
    <mergeCell ref="B42:N42"/>
    <mergeCell ref="O42:AA42"/>
    <mergeCell ref="AB42:AN42"/>
    <mergeCell ref="A51:BI5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2026-01-14T15:25:13Z</dcterms:created>
  <dc:creator>openpyxl</dc:creator>
</cp:coreProperties>
</file>