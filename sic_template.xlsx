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yacephilippe-emmanuel/Documents/template cabinet conseil/"/>
    </mc:Choice>
  </mc:AlternateContent>
  <xr:revisionPtr revIDLastSave="0" documentId="8_{583928B2-C2DF-1343-A81F-613C1F88E38A}" xr6:coauthVersionLast="47" xr6:coauthVersionMax="47" xr10:uidLastSave="{00000000-0000-0000-0000-000000000000}"/>
  <bookViews>
    <workbookView xWindow="0" yWindow="720" windowWidth="29400" windowHeight="18400" activeTab="3" xr2:uid="{00000000-000D-0000-FFFF-FFFF00000000}"/>
  </bookViews>
  <sheets>
    <sheet name="Instructions SIC" sheetId="1" r:id="rId1"/>
    <sheet name="Impact Visé" sheetId="2" r:id="rId2"/>
    <sheet name="Bénéficiaires" sheetId="3" r:id="rId3"/>
    <sheet name="Mesure d'Impact" sheetId="4" r:id="rId4"/>
    <sheet name="ODD &amp; Contribution" sheetId="5" r:id="rId5"/>
    <sheet name="Risques &amp; Défis" sheetId="6" r:id="rId6"/>
    <sheet name="SIC RÉCAP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5" l="1"/>
  <c r="E30" i="7" s="1"/>
  <c r="B30" i="7"/>
  <c r="F23" i="7"/>
  <c r="A23" i="7"/>
  <c r="G14" i="7"/>
  <c r="J5" i="7"/>
  <c r="G5" i="7"/>
  <c r="D5" i="7"/>
  <c r="A5" i="7"/>
  <c r="B36" i="6"/>
  <c r="B35" i="6"/>
  <c r="B33" i="6"/>
  <c r="B32" i="6"/>
  <c r="B22" i="3"/>
  <c r="H30" i="7" s="1"/>
</calcChain>
</file>

<file path=xl/sharedStrings.xml><?xml version="1.0" encoding="utf-8"?>
<sst xmlns="http://schemas.openxmlformats.org/spreadsheetml/2006/main" count="154" uniqueCount="114">
  <si>
    <t>🌍 SOCIAL IMPACT CANVAS - MODE D'EMPLOI</t>
  </si>
  <si>
    <t>📌 QU'EST-CE QUE LE SOCIAL IMPACT CANVAS ?</t>
  </si>
  <si>
    <t>Le Social Impact Canvas (SIC) est un outil qui complète</t>
  </si>
  <si>
    <t>votre Business Model Canvas (BMC) en mesurant votre impact</t>
  </si>
  <si>
    <t>social et environnemental.</t>
  </si>
  <si>
    <t>⏱️ TEMPS DE REMPLISSAGE : 15 MINUTES</t>
  </si>
  <si>
    <t>🎯 5 sections à compléter :</t>
  </si>
  <si>
    <t>├─ Impact Visé (3 questions)</t>
  </si>
  <si>
    <t>├─ Bénéficiaires (3 questions)</t>
  </si>
  <si>
    <t>├─ Mesure d'Impact (4 questions)</t>
  </si>
  <si>
    <t>├─ ODD &amp; Contribution (2 questions)</t>
  </si>
  <si>
    <t>└─ Risques &amp; Défis (2 questions)</t>
  </si>
  <si>
    <t>📝 COMMENT REMPLIR CE DOCUMENT ?</t>
  </si>
  <si>
    <t>1️⃣ Remplissez les onglets 1 à 5 dans l'ordre</t>
  </si>
  <si>
    <t>2️⃣ Les cellules JAUNES sont à remplir</t>
  </si>
  <si>
    <t>3️⃣ Les cellules VERTES se calculent automatiquement</t>
  </si>
  <si>
    <t>4️⃣ Consultez l'onglet 6 pour voir votre SIC visuel</t>
  </si>
  <si>
    <t>5️⃣ Exportez en PDF pour vos présentations</t>
  </si>
  <si>
    <t>💡 CONSEILS</t>
  </si>
  <si>
    <t>✅ Soyez précis et quantitatif (chiffres, %)</t>
  </si>
  <si>
    <t>✅ Donnez des exemples concrets</t>
  </si>
  <si>
    <t>✅ Choisissez max 3 ODD (ne vous dispersez pas)</t>
  </si>
  <si>
    <t>✅ Définissez des cibles réalistes et mesurables</t>
  </si>
  <si>
    <t>🚀 PRÊT ? PASSEZ À L'ONGLET "IMPACT VISÉ" !</t>
  </si>
  <si>
    <t>🎯 SECTION 1 : IMPACT VISÉ</t>
  </si>
  <si>
    <t>Temps estimé : 3 minutes</t>
  </si>
  <si>
    <t>Q1. Quel problème social/environnemental résous-tu ?</t>
  </si>
  <si>
    <t>💡 Exemples :</t>
  </si>
  <si>
    <t>• Chômage des jeunes diplômés en zone rurale</t>
  </si>
  <si>
    <t>• Insécurité alimentaire des familles urbaines pauvres</t>
  </si>
  <si>
    <t>• Pollution plastique dans les quartiers</t>
  </si>
  <si>
    <t>• Déscolarisation des filles en milieu rural</t>
  </si>
  <si>
    <t>Q2. Quelle transformation veux-tu créer ?</t>
  </si>
  <si>
    <t>• Augmenter les revenus des petits agriculteurs de 50%</t>
  </si>
  <si>
    <t>• Réduire la malnutrition infantile de 30% dans notre zone</t>
  </si>
  <si>
    <t>• Former 1000 jeunes aux métiers du digital en 3 ans</t>
  </si>
  <si>
    <t>Q3. Pourquoi ce problème est-il important MAINTENANT ?</t>
  </si>
  <si>
    <t>• Taux de chômage jeunes = 42% (chiffre gouvernement 2024)</t>
  </si>
  <si>
    <t>• 50% des enfants souffrent de malnutrition dans notre région</t>
  </si>
  <si>
    <t>• Migration massive des jeunes vers les villes</t>
  </si>
  <si>
    <t>Score section :</t>
  </si>
  <si>
    <t>👥 SECTION 2 : BÉNÉFICIAIRES</t>
  </si>
  <si>
    <t>Q4. Qui sont tes bénéficiaires directs ?</t>
  </si>
  <si>
    <t>• 500 petits agriculteurs de la région de Thiès</t>
  </si>
  <si>
    <t>• 2000 familles urbaines à faible revenu à Dakar</t>
  </si>
  <si>
    <t>• 300 jeunes diplômés sans emploi (18-30 ans)</t>
  </si>
  <si>
    <t>Q5. Combien de personnes impactées d'ici 3 ans ?</t>
  </si>
  <si>
    <t>Bénéficiaires DIRECTS :</t>
  </si>
  <si>
    <t>Bénéficiaires INDIRECTS :</t>
  </si>
  <si>
    <t>IMPACT TOTAL =</t>
  </si>
  <si>
    <t>Q6. Qui sont tes bénéficiaires indirects ?</t>
  </si>
  <si>
    <t>📊 SECTION 3 : MESURE D'IMPACT</t>
  </si>
  <si>
    <t>Temps estimé : 4 minutes</t>
  </si>
  <si>
    <t>Q7. Quel est ton indicateur d'impact principal ?</t>
  </si>
  <si>
    <t>Si Autre, précisez :</t>
  </si>
  <si>
    <t>Q8. Quelle est ta cible d'impact à 1 an ?</t>
  </si>
  <si>
    <t>☐</t>
  </si>
  <si>
    <t>Enquêtes avant/après auprès des bénéficiaires</t>
  </si>
  <si>
    <t>Données de vente/utilisation du service</t>
  </si>
  <si>
    <t>Témoignages et études de cas</t>
  </si>
  <si>
    <t>Données fournies par partenaires (ONG, gouvernement)</t>
  </si>
  <si>
    <t>Audit externe</t>
  </si>
  <si>
    <t>Autre</t>
  </si>
  <si>
    <t>Q10. À quelle fréquence mesures-tu ton impact ?</t>
  </si>
  <si>
    <t>🎯 SECTION 4 : ODD &amp; CONTRIBUTION</t>
  </si>
  <si>
    <t>Q11. Quels ODD adresses-tu ? (Max 3)</t>
  </si>
  <si>
    <t>ODD 1 - Pas de pauvreté</t>
  </si>
  <si>
    <t>ODD 2 - Faim zéro</t>
  </si>
  <si>
    <t>ODD 3 - Bonne santé et bien-être</t>
  </si>
  <si>
    <t>ODD 4 - Éducation de qualité</t>
  </si>
  <si>
    <t>ODD 5 - Égalité entre les sexes</t>
  </si>
  <si>
    <t>ODD 6 - Eau propre et assainissement</t>
  </si>
  <si>
    <t>ODD 7 - Énergie propre et abordable</t>
  </si>
  <si>
    <t>ODD 8 - Travail décent et croissance</t>
  </si>
  <si>
    <t>ODD 9 - Industrie, innovation</t>
  </si>
  <si>
    <t>ODD 10 - Inégalités réduites</t>
  </si>
  <si>
    <t>ODD 11 - Villes et communautés durables</t>
  </si>
  <si>
    <t>ODD 12 - Consommation responsable</t>
  </si>
  <si>
    <t>ODD 13 - Lutte contre le climat</t>
  </si>
  <si>
    <t>ODD 14 - Vie aquatique</t>
  </si>
  <si>
    <t>ODD 15 - Vie terrestre</t>
  </si>
  <si>
    <t>ODD 16 - Paix et justice</t>
  </si>
  <si>
    <t>ODD 17 - Partenariats</t>
  </si>
  <si>
    <t>Nombre d'ODD sélectionnés :</t>
  </si>
  <si>
    <t>Q12. Comment contribues-tu concrètement à ces ODD ?</t>
  </si>
  <si>
    <t>⚠️ SECTION 5 : RISQUES &amp; DÉFIS</t>
  </si>
  <si>
    <t>Temps estimé : 2 minutes</t>
  </si>
  <si>
    <t>Financement insuffisant</t>
  </si>
  <si>
    <t>Faible adoption par les bénéficiaires</t>
  </si>
  <si>
    <t>Résistance culturelle/sociale</t>
  </si>
  <si>
    <t>Infrastructure inadéquate</t>
  </si>
  <si>
    <t>Réglementation changeante</t>
  </si>
  <si>
    <t>Concurrence déloyale</t>
  </si>
  <si>
    <t>Dépendance à un partenaire clé</t>
  </si>
  <si>
    <t>Q14. Comment atténues-tu ces risques ?</t>
  </si>
  <si>
    <t>Impact Visé :</t>
  </si>
  <si>
    <t>Bénéficiaires :</t>
  </si>
  <si>
    <t>Mesure d'Impact :</t>
  </si>
  <si>
    <t>ODD &amp; Contribution :</t>
  </si>
  <si>
    <t>Risques &amp; Défis :</t>
  </si>
  <si>
    <t>TOTAL :</t>
  </si>
  <si>
    <t>🌍 SOCIAL IMPACT CANVAS - Votre Projet</t>
  </si>
  <si>
    <t>PROBLÈME SOCIAL</t>
  </si>
  <si>
    <t>TRANSFORMATION VISÉE</t>
  </si>
  <si>
    <t>BÉNÉFICIAIRES</t>
  </si>
  <si>
    <t>ODD CIBLÉS</t>
  </si>
  <si>
    <t>INDICATEUR CLÉ</t>
  </si>
  <si>
    <t>MESURE</t>
  </si>
  <si>
    <t>CONTRIBUTION AUX ODD</t>
  </si>
  <si>
    <t>⚠️ RISQUES &amp; ATTÉNUATION</t>
  </si>
  <si>
    <t>Score de complétude :</t>
  </si>
  <si>
    <t>Alignement ODD :</t>
  </si>
  <si>
    <t>Impact total projeté :</t>
  </si>
  <si>
    <t>Généré automatiquement par Social Impact Canvas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</si>
</sst>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Arial Black"/>
      <family val="2"/>
    </font>
    <font>
      <b/>
      <sz val="11"/>
      <color rgb="FFFFFFFF"/>
      <name val="Arial"/>
      <family val="2"/>
    </font>
    <font>
      <b/>
      <sz val="14"/>
      <color rgb="FFFFFFFF"/>
      <name val="Arial Black"/>
      <family val="2"/>
    </font>
    <font>
      <sz val="9"/>
      <color rgb="FF7F8C8D"/>
      <name val="Calibri"/>
      <family val="2"/>
    </font>
    <font>
      <sz val="10"/>
      <name val="Arial"/>
      <family val="2"/>
    </font>
    <font>
      <i/>
      <sz val="9"/>
      <color rgb="FF7F8C8D"/>
      <name val="Arial"/>
      <family val="2"/>
    </font>
    <font>
      <i/>
      <sz val="9"/>
      <color rgb="FF7F8C8D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81C784"/>
      </patternFill>
    </fill>
    <fill>
      <patternFill patternType="solid">
        <fgColor rgb="FFFFA726"/>
      </patternFill>
    </fill>
    <fill>
      <patternFill patternType="solid">
        <fgColor rgb="FFFFF9C4"/>
      </patternFill>
    </fill>
    <fill>
      <patternFill patternType="solid">
        <fgColor rgb="FFA5D6A7"/>
      </patternFill>
    </fill>
    <fill>
      <patternFill patternType="solid">
        <fgColor rgb="FFFF5722"/>
      </patternFill>
    </fill>
    <fill>
      <patternFill patternType="solid">
        <fgColor rgb="FFF1F8E9"/>
      </patternFill>
    </fill>
  </fills>
  <borders count="2">
    <border>
      <left/>
      <right/>
      <top/>
      <bottom/>
      <diagonal/>
    </border>
    <border>
      <left style="thin">
        <color rgb="FF95A5A6"/>
      </left>
      <right style="thin">
        <color rgb="FF95A5A6"/>
      </right>
      <top style="thin">
        <color rgb="FF95A5A6"/>
      </top>
      <bottom style="thin">
        <color rgb="FF95A5A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0" xfId="0" applyFont="1"/>
    <xf numFmtId="0" fontId="5" fillId="0" borderId="0" xfId="0" applyFont="1"/>
    <xf numFmtId="0" fontId="0" fillId="5" borderId="1" xfId="0" applyFill="1" applyBorder="1" applyAlignment="1">
      <alignment wrapText="1"/>
    </xf>
    <xf numFmtId="0" fontId="6" fillId="0" borderId="0" xfId="0" applyFont="1"/>
    <xf numFmtId="0" fontId="0" fillId="6" borderId="0" xfId="0" applyFill="1"/>
    <xf numFmtId="0" fontId="0" fillId="5" borderId="1" xfId="0" applyFill="1" applyBorder="1"/>
    <xf numFmtId="0" fontId="2" fillId="3" borderId="0" xfId="0" applyFont="1" applyFill="1" applyAlignment="1">
      <alignment horizontal="left" vertical="center"/>
    </xf>
    <xf numFmtId="0" fontId="0" fillId="0" borderId="0" xfId="0"/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7" fillId="8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workbookViewId="0">
      <selection sqref="A1:H1"/>
    </sheetView>
  </sheetViews>
  <sheetFormatPr baseColWidth="10" defaultColWidth="8.83203125" defaultRowHeight="15" x14ac:dyDescent="0.2"/>
  <cols>
    <col min="1" max="8" width="15" customWidth="1"/>
  </cols>
  <sheetData>
    <row r="1" spans="1:8" ht="30" customHeight="1" x14ac:dyDescent="0.2">
      <c r="A1" s="10" t="s">
        <v>0</v>
      </c>
      <c r="B1" s="8"/>
      <c r="C1" s="8"/>
      <c r="D1" s="8"/>
      <c r="E1" s="8"/>
      <c r="F1" s="8"/>
      <c r="G1" s="8"/>
      <c r="H1" s="8"/>
    </row>
    <row r="3" spans="1:8" ht="20" customHeight="1" x14ac:dyDescent="0.2">
      <c r="A3" s="7" t="s">
        <v>1</v>
      </c>
      <c r="B3" s="8"/>
      <c r="C3" s="8"/>
      <c r="D3" s="8"/>
      <c r="E3" s="8"/>
      <c r="F3" s="8"/>
      <c r="G3" s="8"/>
      <c r="H3" s="8"/>
    </row>
    <row r="5" spans="1:8" x14ac:dyDescent="0.2">
      <c r="A5" t="s">
        <v>2</v>
      </c>
    </row>
    <row r="6" spans="1:8" x14ac:dyDescent="0.2">
      <c r="A6" t="s">
        <v>3</v>
      </c>
    </row>
    <row r="7" spans="1:8" x14ac:dyDescent="0.2">
      <c r="A7" t="s">
        <v>4</v>
      </c>
    </row>
    <row r="8" spans="1:8" ht="20" customHeight="1" x14ac:dyDescent="0.2">
      <c r="A8" s="11" t="s">
        <v>5</v>
      </c>
      <c r="B8" s="8"/>
      <c r="C8" s="8"/>
      <c r="D8" s="8"/>
      <c r="E8" s="8"/>
      <c r="F8" s="8"/>
      <c r="G8" s="8"/>
      <c r="H8" s="8"/>
    </row>
    <row r="10" spans="1:8" x14ac:dyDescent="0.2">
      <c r="A10" t="s">
        <v>6</v>
      </c>
    </row>
    <row r="11" spans="1:8" x14ac:dyDescent="0.2">
      <c r="A11" t="s">
        <v>7</v>
      </c>
    </row>
    <row r="12" spans="1:8" x14ac:dyDescent="0.2">
      <c r="A12" t="s">
        <v>8</v>
      </c>
    </row>
    <row r="13" spans="1:8" x14ac:dyDescent="0.2">
      <c r="A13" t="s">
        <v>9</v>
      </c>
    </row>
    <row r="14" spans="1:8" x14ac:dyDescent="0.2">
      <c r="A14" t="s">
        <v>10</v>
      </c>
    </row>
    <row r="15" spans="1:8" x14ac:dyDescent="0.2">
      <c r="A15" t="s">
        <v>11</v>
      </c>
    </row>
    <row r="18" spans="1:8" ht="20" customHeight="1" x14ac:dyDescent="0.2">
      <c r="A18" s="7" t="s">
        <v>12</v>
      </c>
      <c r="B18" s="8"/>
      <c r="C18" s="8"/>
      <c r="D18" s="8"/>
      <c r="E18" s="8"/>
      <c r="F18" s="8"/>
      <c r="G18" s="8"/>
      <c r="H18" s="8"/>
    </row>
    <row r="20" spans="1:8" x14ac:dyDescent="0.2">
      <c r="A20" t="s">
        <v>13</v>
      </c>
    </row>
    <row r="21" spans="1:8" x14ac:dyDescent="0.2">
      <c r="A21" t="s">
        <v>14</v>
      </c>
    </row>
    <row r="22" spans="1:8" x14ac:dyDescent="0.2">
      <c r="A22" t="s">
        <v>15</v>
      </c>
    </row>
    <row r="23" spans="1:8" x14ac:dyDescent="0.2">
      <c r="A23" t="s">
        <v>16</v>
      </c>
    </row>
    <row r="24" spans="1:8" x14ac:dyDescent="0.2">
      <c r="A24" t="s">
        <v>17</v>
      </c>
    </row>
    <row r="27" spans="1:8" ht="20" customHeight="1" x14ac:dyDescent="0.2">
      <c r="A27" s="11" t="s">
        <v>18</v>
      </c>
      <c r="B27" s="8"/>
      <c r="C27" s="8"/>
      <c r="D27" s="8"/>
      <c r="E27" s="8"/>
      <c r="F27" s="8"/>
      <c r="G27" s="8"/>
      <c r="H27" s="8"/>
    </row>
    <row r="29" spans="1:8" x14ac:dyDescent="0.2">
      <c r="A29" t="s">
        <v>19</v>
      </c>
    </row>
    <row r="30" spans="1:8" x14ac:dyDescent="0.2">
      <c r="A30" t="s">
        <v>20</v>
      </c>
    </row>
    <row r="31" spans="1:8" x14ac:dyDescent="0.2">
      <c r="A31" t="s">
        <v>21</v>
      </c>
    </row>
    <row r="32" spans="1:8" x14ac:dyDescent="0.2">
      <c r="A32" t="s">
        <v>22</v>
      </c>
    </row>
    <row r="35" spans="1:8" ht="20" customHeight="1" x14ac:dyDescent="0.2">
      <c r="A35" s="9" t="s">
        <v>23</v>
      </c>
      <c r="B35" s="8"/>
      <c r="C35" s="8"/>
      <c r="D35" s="8"/>
      <c r="E35" s="8"/>
      <c r="F35" s="8"/>
      <c r="G35" s="8"/>
      <c r="H35" s="8"/>
    </row>
  </sheetData>
  <mergeCells count="6">
    <mergeCell ref="A18:H18"/>
    <mergeCell ref="A3:H3"/>
    <mergeCell ref="A35:H35"/>
    <mergeCell ref="A1:H1"/>
    <mergeCell ref="A27:H27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>
      <selection sqref="A1:D1"/>
    </sheetView>
  </sheetViews>
  <sheetFormatPr baseColWidth="10" defaultColWidth="8.83203125" defaultRowHeight="15" x14ac:dyDescent="0.2"/>
  <cols>
    <col min="1" max="1" width="40" customWidth="1"/>
    <col min="2" max="2" width="60" customWidth="1"/>
    <col min="3" max="4" width="40" customWidth="1"/>
  </cols>
  <sheetData>
    <row r="1" spans="1:4" ht="26" customHeight="1" x14ac:dyDescent="0.2">
      <c r="A1" s="12" t="s">
        <v>24</v>
      </c>
      <c r="B1" s="8"/>
      <c r="C1" s="8"/>
      <c r="D1" s="8"/>
    </row>
    <row r="3" spans="1:4" x14ac:dyDescent="0.2">
      <c r="A3" s="1" t="s">
        <v>25</v>
      </c>
    </row>
    <row r="6" spans="1:4" x14ac:dyDescent="0.2">
      <c r="A6" s="2" t="s">
        <v>26</v>
      </c>
      <c r="B6" s="3"/>
    </row>
    <row r="9" spans="1:4" x14ac:dyDescent="0.2">
      <c r="A9" s="4" t="s">
        <v>27</v>
      </c>
    </row>
    <row r="10" spans="1:4" x14ac:dyDescent="0.2">
      <c r="A10" s="4" t="s">
        <v>28</v>
      </c>
    </row>
    <row r="11" spans="1:4" x14ac:dyDescent="0.2">
      <c r="A11" s="4" t="s">
        <v>29</v>
      </c>
    </row>
    <row r="12" spans="1:4" x14ac:dyDescent="0.2">
      <c r="A12" s="4" t="s">
        <v>30</v>
      </c>
    </row>
    <row r="13" spans="1:4" x14ac:dyDescent="0.2">
      <c r="A13" s="4" t="s">
        <v>31</v>
      </c>
    </row>
    <row r="15" spans="1:4" x14ac:dyDescent="0.2">
      <c r="A15" s="2" t="s">
        <v>32</v>
      </c>
      <c r="B15" s="3"/>
    </row>
    <row r="18" spans="1:2" x14ac:dyDescent="0.2">
      <c r="A18" s="4" t="s">
        <v>27</v>
      </c>
    </row>
    <row r="19" spans="1:2" x14ac:dyDescent="0.2">
      <c r="A19" s="4" t="s">
        <v>33</v>
      </c>
    </row>
    <row r="20" spans="1:2" x14ac:dyDescent="0.2">
      <c r="A20" s="4" t="s">
        <v>34</v>
      </c>
    </row>
    <row r="21" spans="1:2" x14ac:dyDescent="0.2">
      <c r="A21" s="4" t="s">
        <v>35</v>
      </c>
    </row>
    <row r="24" spans="1:2" x14ac:dyDescent="0.2">
      <c r="A24" s="2" t="s">
        <v>36</v>
      </c>
      <c r="B24" s="3"/>
    </row>
    <row r="27" spans="1:2" x14ac:dyDescent="0.2">
      <c r="A27" s="4" t="s">
        <v>27</v>
      </c>
    </row>
    <row r="28" spans="1:2" x14ac:dyDescent="0.2">
      <c r="A28" s="4" t="s">
        <v>37</v>
      </c>
    </row>
    <row r="29" spans="1:2" x14ac:dyDescent="0.2">
      <c r="A29" s="4" t="s">
        <v>38</v>
      </c>
    </row>
    <row r="30" spans="1:2" x14ac:dyDescent="0.2">
      <c r="A30" s="4" t="s">
        <v>39</v>
      </c>
    </row>
    <row r="33" spans="1:2" x14ac:dyDescent="0.2">
      <c r="A33" t="s">
        <v>40</v>
      </c>
      <c r="B33" s="5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"/>
  <sheetViews>
    <sheetView workbookViewId="0">
      <selection sqref="A1:D1"/>
    </sheetView>
  </sheetViews>
  <sheetFormatPr baseColWidth="10" defaultColWidth="8.83203125" defaultRowHeight="15" x14ac:dyDescent="0.2"/>
  <cols>
    <col min="1" max="1" width="40" customWidth="1"/>
    <col min="2" max="2" width="60" customWidth="1"/>
    <col min="3" max="4" width="40" customWidth="1"/>
  </cols>
  <sheetData>
    <row r="1" spans="1:4" ht="21" x14ac:dyDescent="0.2">
      <c r="A1" s="12" t="s">
        <v>41</v>
      </c>
      <c r="B1" s="8"/>
      <c r="C1" s="8"/>
      <c r="D1" s="8"/>
    </row>
    <row r="3" spans="1:4" x14ac:dyDescent="0.2">
      <c r="A3" s="1" t="s">
        <v>25</v>
      </c>
    </row>
    <row r="6" spans="1:4" x14ac:dyDescent="0.2">
      <c r="A6" t="s">
        <v>42</v>
      </c>
      <c r="B6" s="6"/>
    </row>
    <row r="9" spans="1:4" x14ac:dyDescent="0.2">
      <c r="A9" s="4" t="s">
        <v>27</v>
      </c>
    </row>
    <row r="10" spans="1:4" x14ac:dyDescent="0.2">
      <c r="A10" s="4" t="s">
        <v>43</v>
      </c>
    </row>
    <row r="11" spans="1:4" x14ac:dyDescent="0.2">
      <c r="A11" s="4" t="s">
        <v>44</v>
      </c>
    </row>
    <row r="12" spans="1:4" x14ac:dyDescent="0.2">
      <c r="A12" s="4" t="s">
        <v>45</v>
      </c>
    </row>
    <row r="15" spans="1:4" x14ac:dyDescent="0.2">
      <c r="A15" t="s">
        <v>46</v>
      </c>
    </row>
    <row r="17" spans="1:2" x14ac:dyDescent="0.2">
      <c r="A17" t="s">
        <v>47</v>
      </c>
      <c r="B17" s="6"/>
    </row>
    <row r="19" spans="1:2" x14ac:dyDescent="0.2">
      <c r="A19" t="s">
        <v>48</v>
      </c>
      <c r="B19" s="6"/>
    </row>
    <row r="22" spans="1:2" x14ac:dyDescent="0.2">
      <c r="A22" t="s">
        <v>49</v>
      </c>
      <c r="B22" s="5">
        <f>B17+B19</f>
        <v>0</v>
      </c>
    </row>
    <row r="30" spans="1:2" x14ac:dyDescent="0.2">
      <c r="A30" t="s">
        <v>50</v>
      </c>
      <c r="B30" s="6"/>
    </row>
    <row r="39" spans="1:2" x14ac:dyDescent="0.2">
      <c r="A39" t="s">
        <v>40</v>
      </c>
      <c r="B39" s="5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"/>
  <sheetViews>
    <sheetView tabSelected="1" workbookViewId="0">
      <selection activeCell="A20" sqref="A20"/>
    </sheetView>
  </sheetViews>
  <sheetFormatPr baseColWidth="10" defaultColWidth="8.83203125" defaultRowHeight="15" x14ac:dyDescent="0.2"/>
  <cols>
    <col min="1" max="1" width="40" customWidth="1"/>
    <col min="2" max="2" width="60" customWidth="1"/>
    <col min="3" max="4" width="40" customWidth="1"/>
  </cols>
  <sheetData>
    <row r="1" spans="1:4" ht="21" x14ac:dyDescent="0.2">
      <c r="A1" s="12" t="s">
        <v>51</v>
      </c>
      <c r="B1" s="8"/>
      <c r="C1" s="8"/>
      <c r="D1" s="8"/>
    </row>
    <row r="3" spans="1:4" x14ac:dyDescent="0.2">
      <c r="A3" s="1" t="s">
        <v>52</v>
      </c>
    </row>
    <row r="6" spans="1:4" x14ac:dyDescent="0.2">
      <c r="A6" t="s">
        <v>53</v>
      </c>
      <c r="B6" s="6"/>
      <c r="C6" t="s">
        <v>54</v>
      </c>
      <c r="D6" s="6"/>
    </row>
    <row r="12" spans="1:4" x14ac:dyDescent="0.2">
      <c r="A12" t="s">
        <v>55</v>
      </c>
      <c r="B12" s="6"/>
      <c r="C12" s="6"/>
    </row>
    <row r="20" spans="1:2" x14ac:dyDescent="0.2">
      <c r="A20" t="s">
        <v>56</v>
      </c>
      <c r="B20" t="s">
        <v>57</v>
      </c>
    </row>
    <row r="21" spans="1:2" x14ac:dyDescent="0.2">
      <c r="A21" t="s">
        <v>56</v>
      </c>
      <c r="B21" t="s">
        <v>58</v>
      </c>
    </row>
    <row r="22" spans="1:2" x14ac:dyDescent="0.2">
      <c r="A22" t="s">
        <v>56</v>
      </c>
      <c r="B22" t="s">
        <v>59</v>
      </c>
    </row>
    <row r="23" spans="1:2" x14ac:dyDescent="0.2">
      <c r="A23" t="s">
        <v>56</v>
      </c>
      <c r="B23" t="s">
        <v>60</v>
      </c>
    </row>
    <row r="24" spans="1:2" x14ac:dyDescent="0.2">
      <c r="A24" t="s">
        <v>56</v>
      </c>
      <c r="B24" t="s">
        <v>61</v>
      </c>
    </row>
    <row r="25" spans="1:2" x14ac:dyDescent="0.2">
      <c r="A25" t="s">
        <v>56</v>
      </c>
      <c r="B25" t="s">
        <v>62</v>
      </c>
    </row>
    <row r="30" spans="1:2" x14ac:dyDescent="0.2">
      <c r="A30" t="s">
        <v>63</v>
      </c>
      <c r="B30" s="6"/>
    </row>
    <row r="36" spans="1:2" x14ac:dyDescent="0.2">
      <c r="A36" t="s">
        <v>40</v>
      </c>
      <c r="B36" s="5"/>
    </row>
  </sheetData>
  <mergeCells count="1">
    <mergeCell ref="A1:D1"/>
  </mergeCells>
  <dataValidations count="3">
    <dataValidation type="list" allowBlank="1" sqref="B6" xr:uid="{00000000-0002-0000-0300-000000000000}">
      <formula1>"Revenus augmentés (%),Emplois créés (nombre),Personnes formées (nombre),Accès à un service (nombre),Réduction pollution/déchets (kg, %),Amélioration santé/nutrition (%),Autre"</formula1>
    </dataValidation>
    <dataValidation type="list" allowBlank="1" sqref="C12" xr:uid="{00000000-0002-0000-0300-000001000000}">
      <formula1>"% ,unités,personnes,emplois,tonnes"</formula1>
    </dataValidation>
    <dataValidation type="list" allowBlank="1" sqref="B30" xr:uid="{00000000-0002-0000-0300-000002000000}">
      <formula1>"Mensuelle,Trimestrielle,Annuelle,À chaque projet/cycle"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6"/>
  <sheetViews>
    <sheetView workbookViewId="0">
      <selection activeCell="A8" sqref="A8"/>
    </sheetView>
  </sheetViews>
  <sheetFormatPr baseColWidth="10" defaultColWidth="8.83203125" defaultRowHeight="15" x14ac:dyDescent="0.2"/>
  <cols>
    <col min="1" max="4" width="15" customWidth="1"/>
  </cols>
  <sheetData>
    <row r="1" spans="1:4" ht="21" x14ac:dyDescent="0.2">
      <c r="A1" s="13" t="s">
        <v>64</v>
      </c>
      <c r="B1" s="8"/>
      <c r="C1" s="8"/>
      <c r="D1" s="8"/>
    </row>
    <row r="3" spans="1:4" x14ac:dyDescent="0.2">
      <c r="A3" s="1" t="s">
        <v>25</v>
      </c>
    </row>
    <row r="6" spans="1:4" x14ac:dyDescent="0.2">
      <c r="A6" t="s">
        <v>65</v>
      </c>
    </row>
    <row r="8" spans="1:4" x14ac:dyDescent="0.2">
      <c r="A8" t="s">
        <v>56</v>
      </c>
      <c r="B8" t="s">
        <v>66</v>
      </c>
    </row>
    <row r="9" spans="1:4" x14ac:dyDescent="0.2">
      <c r="A9" t="s">
        <v>56</v>
      </c>
      <c r="B9" t="s">
        <v>67</v>
      </c>
    </row>
    <row r="10" spans="1:4" x14ac:dyDescent="0.2">
      <c r="A10" t="s">
        <v>56</v>
      </c>
      <c r="B10" t="s">
        <v>68</v>
      </c>
    </row>
    <row r="11" spans="1:4" x14ac:dyDescent="0.2">
      <c r="A11" t="s">
        <v>56</v>
      </c>
      <c r="B11" t="s">
        <v>69</v>
      </c>
    </row>
    <row r="12" spans="1:4" x14ac:dyDescent="0.2">
      <c r="A12" t="s">
        <v>56</v>
      </c>
      <c r="B12" t="s">
        <v>70</v>
      </c>
    </row>
    <row r="13" spans="1:4" x14ac:dyDescent="0.2">
      <c r="A13" t="s">
        <v>56</v>
      </c>
      <c r="B13" t="s">
        <v>71</v>
      </c>
    </row>
    <row r="14" spans="1:4" x14ac:dyDescent="0.2">
      <c r="A14" t="s">
        <v>56</v>
      </c>
      <c r="B14" t="s">
        <v>72</v>
      </c>
    </row>
    <row r="15" spans="1:4" x14ac:dyDescent="0.2">
      <c r="A15" t="s">
        <v>56</v>
      </c>
      <c r="B15" t="s">
        <v>73</v>
      </c>
    </row>
    <row r="16" spans="1:4" x14ac:dyDescent="0.2">
      <c r="A16" t="s">
        <v>56</v>
      </c>
      <c r="B16" t="s">
        <v>74</v>
      </c>
    </row>
    <row r="17" spans="1:2" x14ac:dyDescent="0.2">
      <c r="A17" t="s">
        <v>56</v>
      </c>
      <c r="B17" t="s">
        <v>75</v>
      </c>
    </row>
    <row r="18" spans="1:2" x14ac:dyDescent="0.2">
      <c r="A18" t="s">
        <v>56</v>
      </c>
      <c r="B18" t="s">
        <v>76</v>
      </c>
    </row>
    <row r="19" spans="1:2" x14ac:dyDescent="0.2">
      <c r="A19" t="s">
        <v>56</v>
      </c>
      <c r="B19" t="s">
        <v>77</v>
      </c>
    </row>
    <row r="20" spans="1:2" x14ac:dyDescent="0.2">
      <c r="A20" t="s">
        <v>56</v>
      </c>
      <c r="B20" t="s">
        <v>78</v>
      </c>
    </row>
    <row r="21" spans="1:2" x14ac:dyDescent="0.2">
      <c r="A21" t="s">
        <v>56</v>
      </c>
      <c r="B21" t="s">
        <v>79</v>
      </c>
    </row>
    <row r="22" spans="1:2" x14ac:dyDescent="0.2">
      <c r="A22" t="s">
        <v>56</v>
      </c>
      <c r="B22" t="s">
        <v>80</v>
      </c>
    </row>
    <row r="23" spans="1:2" x14ac:dyDescent="0.2">
      <c r="A23" t="s">
        <v>56</v>
      </c>
      <c r="B23" t="s">
        <v>81</v>
      </c>
    </row>
    <row r="24" spans="1:2" x14ac:dyDescent="0.2">
      <c r="A24" t="s">
        <v>56</v>
      </c>
      <c r="B24" t="s">
        <v>82</v>
      </c>
    </row>
    <row r="26" spans="1:2" x14ac:dyDescent="0.2">
      <c r="A26" t="s">
        <v>83</v>
      </c>
      <c r="B26" s="5">
        <f>SUM(B8:B24)</f>
        <v>0</v>
      </c>
    </row>
    <row r="33" spans="1:2" x14ac:dyDescent="0.2">
      <c r="A33" t="s">
        <v>84</v>
      </c>
      <c r="B33" s="3"/>
    </row>
    <row r="46" spans="1:2" x14ac:dyDescent="0.2">
      <c r="A46" t="s">
        <v>40</v>
      </c>
      <c r="B46" s="5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8"/>
  <sheetViews>
    <sheetView topLeftCell="A7" workbookViewId="0">
      <selection sqref="A1:D1"/>
    </sheetView>
  </sheetViews>
  <sheetFormatPr baseColWidth="10" defaultColWidth="8.83203125" defaultRowHeight="15" x14ac:dyDescent="0.2"/>
  <cols>
    <col min="1" max="1" width="40" customWidth="1"/>
    <col min="2" max="2" width="60" customWidth="1"/>
    <col min="3" max="4" width="40" customWidth="1"/>
  </cols>
  <sheetData>
    <row r="1" spans="1:4" ht="21" x14ac:dyDescent="0.2">
      <c r="A1" s="14" t="s">
        <v>85</v>
      </c>
      <c r="B1" s="8"/>
      <c r="C1" s="8"/>
      <c r="D1" s="8"/>
    </row>
    <row r="3" spans="1:4" x14ac:dyDescent="0.2">
      <c r="A3" s="1" t="s">
        <v>86</v>
      </c>
    </row>
    <row r="6" spans="1:4" x14ac:dyDescent="0.2">
      <c r="A6" t="s">
        <v>56</v>
      </c>
      <c r="B6" t="s">
        <v>87</v>
      </c>
    </row>
    <row r="7" spans="1:4" x14ac:dyDescent="0.2">
      <c r="A7" t="s">
        <v>56</v>
      </c>
      <c r="B7" t="s">
        <v>88</v>
      </c>
    </row>
    <row r="8" spans="1:4" x14ac:dyDescent="0.2">
      <c r="A8" t="s">
        <v>56</v>
      </c>
      <c r="B8" t="s">
        <v>89</v>
      </c>
    </row>
    <row r="9" spans="1:4" x14ac:dyDescent="0.2">
      <c r="A9" t="s">
        <v>56</v>
      </c>
      <c r="B9" t="s">
        <v>90</v>
      </c>
    </row>
    <row r="10" spans="1:4" x14ac:dyDescent="0.2">
      <c r="A10" t="s">
        <v>56</v>
      </c>
      <c r="B10" t="s">
        <v>91</v>
      </c>
    </row>
    <row r="11" spans="1:4" x14ac:dyDescent="0.2">
      <c r="A11" t="s">
        <v>56</v>
      </c>
      <c r="B11" t="s">
        <v>92</v>
      </c>
    </row>
    <row r="12" spans="1:4" x14ac:dyDescent="0.2">
      <c r="A12" t="s">
        <v>56</v>
      </c>
      <c r="B12" t="s">
        <v>93</v>
      </c>
    </row>
    <row r="13" spans="1:4" x14ac:dyDescent="0.2">
      <c r="A13" t="s">
        <v>56</v>
      </c>
      <c r="B13" t="s">
        <v>62</v>
      </c>
    </row>
    <row r="18" spans="1:2" x14ac:dyDescent="0.2">
      <c r="A18" t="s">
        <v>94</v>
      </c>
      <c r="B18" s="3"/>
    </row>
    <row r="27" spans="1:2" x14ac:dyDescent="0.2">
      <c r="A27" t="s">
        <v>40</v>
      </c>
      <c r="B27" s="5"/>
    </row>
    <row r="32" spans="1:2" x14ac:dyDescent="0.2">
      <c r="A32" t="s">
        <v>95</v>
      </c>
      <c r="B32">
        <f>'Impact Visé'!B33</f>
        <v>0</v>
      </c>
    </row>
    <row r="33" spans="1:2" x14ac:dyDescent="0.2">
      <c r="A33" t="s">
        <v>96</v>
      </c>
      <c r="B33">
        <f>Bénéficiaires!B39</f>
        <v>0</v>
      </c>
    </row>
    <row r="34" spans="1:2" x14ac:dyDescent="0.2">
      <c r="A34" t="s">
        <v>97</v>
      </c>
    </row>
    <row r="35" spans="1:2" x14ac:dyDescent="0.2">
      <c r="A35" t="s">
        <v>98</v>
      </c>
      <c r="B35">
        <f>'ODD &amp; Contribution'!B46</f>
        <v>0</v>
      </c>
    </row>
    <row r="36" spans="1:2" x14ac:dyDescent="0.2">
      <c r="A36" t="s">
        <v>99</v>
      </c>
      <c r="B36">
        <f>B27</f>
        <v>0</v>
      </c>
    </row>
    <row r="38" spans="1:2" x14ac:dyDescent="0.2">
      <c r="A38" t="s">
        <v>100</v>
      </c>
      <c r="B38" s="5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workbookViewId="0">
      <selection sqref="A1:K1"/>
    </sheetView>
  </sheetViews>
  <sheetFormatPr baseColWidth="10" defaultColWidth="8.83203125" defaultRowHeight="15" x14ac:dyDescent="0.2"/>
  <cols>
    <col min="1" max="11" width="12" customWidth="1"/>
  </cols>
  <sheetData>
    <row r="1" spans="1:11" ht="26" x14ac:dyDescent="0.2">
      <c r="A1" s="10" t="s">
        <v>101</v>
      </c>
      <c r="B1" s="8"/>
      <c r="C1" s="8"/>
      <c r="D1" s="8"/>
      <c r="E1" s="8"/>
      <c r="F1" s="8"/>
      <c r="G1" s="8"/>
      <c r="H1" s="8"/>
      <c r="I1" s="8"/>
      <c r="J1" s="8"/>
      <c r="K1" s="8"/>
    </row>
    <row r="4" spans="1:11" x14ac:dyDescent="0.2">
      <c r="A4" s="18" t="s">
        <v>102</v>
      </c>
      <c r="B4" s="8"/>
      <c r="C4" s="8"/>
      <c r="D4" s="17" t="s">
        <v>103</v>
      </c>
      <c r="E4" s="8"/>
      <c r="F4" s="8"/>
      <c r="G4" s="18" t="s">
        <v>104</v>
      </c>
      <c r="H4" s="8"/>
      <c r="I4" s="8"/>
      <c r="J4" s="17" t="s">
        <v>105</v>
      </c>
      <c r="K4" s="8"/>
    </row>
    <row r="5" spans="1:11" x14ac:dyDescent="0.2">
      <c r="A5" s="16">
        <f>'Impact Visé'!B6</f>
        <v>0</v>
      </c>
      <c r="B5" s="8"/>
      <c r="C5" s="8"/>
      <c r="D5" s="16">
        <f>'Impact Visé'!B15</f>
        <v>0</v>
      </c>
      <c r="E5" s="8"/>
      <c r="F5" s="8"/>
      <c r="G5" s="16">
        <f>Bénéficiaires!B6</f>
        <v>0</v>
      </c>
      <c r="H5" s="8"/>
      <c r="I5" s="8"/>
      <c r="J5" s="16">
        <f>'ODD &amp; Contribution'!B33</f>
        <v>0</v>
      </c>
      <c r="K5" s="8"/>
    </row>
    <row r="6" spans="1:11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</row>
    <row r="9" spans="1:11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</row>
    <row r="10" spans="1:11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3" spans="1:11" x14ac:dyDescent="0.2">
      <c r="A13" s="19" t="s">
        <v>106</v>
      </c>
      <c r="B13" s="8"/>
      <c r="C13" s="8"/>
      <c r="D13" s="15" t="s">
        <v>107</v>
      </c>
      <c r="E13" s="8"/>
      <c r="F13" s="8"/>
      <c r="G13" s="19" t="s">
        <v>108</v>
      </c>
      <c r="H13" s="8"/>
      <c r="I13" s="8"/>
      <c r="J13" s="8"/>
      <c r="K13" s="8"/>
    </row>
    <row r="14" spans="1:11" x14ac:dyDescent="0.2">
      <c r="A14" s="16"/>
      <c r="B14" s="8"/>
      <c r="C14" s="8"/>
      <c r="D14" s="16"/>
      <c r="E14" s="8"/>
      <c r="F14" s="8"/>
      <c r="G14" s="16">
        <f>'ODD &amp; Contribution'!B33</f>
        <v>0</v>
      </c>
      <c r="H14" s="8"/>
      <c r="I14" s="8"/>
      <c r="J14" s="8"/>
      <c r="K14" s="8"/>
    </row>
    <row r="15" spans="1:11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1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1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2" spans="1:11" x14ac:dyDescent="0.2">
      <c r="A22" s="21" t="s">
        <v>109</v>
      </c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x14ac:dyDescent="0.2">
      <c r="A23" s="16">
        <f>'Risques &amp; Défis'!B18</f>
        <v>0</v>
      </c>
      <c r="B23" s="8"/>
      <c r="C23" s="8"/>
      <c r="D23" s="8"/>
      <c r="E23" s="8"/>
      <c r="F23" s="16">
        <f>'Risques &amp; Défis'!B18</f>
        <v>0</v>
      </c>
      <c r="G23" s="8"/>
      <c r="H23" s="8"/>
      <c r="I23" s="8"/>
      <c r="J23" s="8"/>
      <c r="K23" s="8"/>
    </row>
    <row r="24" spans="1:11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30" spans="1:11" x14ac:dyDescent="0.2">
      <c r="A30" t="s">
        <v>110</v>
      </c>
      <c r="B30">
        <f>'Risques &amp; Défis'!B38</f>
        <v>0</v>
      </c>
      <c r="D30" t="s">
        <v>111</v>
      </c>
      <c r="E30" t="str">
        <f>'ODD &amp; Contribution'!B26 &amp; " objectifs ciblés"</f>
        <v>0 objectifs ciblés</v>
      </c>
      <c r="G30" t="s">
        <v>112</v>
      </c>
      <c r="H30" t="str">
        <f>Bénéficiaires!B22 &amp; " personnes"</f>
        <v>0 personnes</v>
      </c>
    </row>
    <row r="32" spans="1:11" x14ac:dyDescent="0.2">
      <c r="A32" s="20" t="s">
        <v>113</v>
      </c>
      <c r="B32" s="8"/>
      <c r="C32" s="8"/>
      <c r="D32" s="8"/>
      <c r="E32" s="8"/>
      <c r="F32" s="8"/>
      <c r="G32" s="8"/>
      <c r="H32" s="8"/>
      <c r="I32" s="8"/>
      <c r="J32" s="8"/>
      <c r="K32" s="8"/>
    </row>
  </sheetData>
  <mergeCells count="19">
    <mergeCell ref="A32:K32"/>
    <mergeCell ref="D5:F11"/>
    <mergeCell ref="A14:C20"/>
    <mergeCell ref="A22:K22"/>
    <mergeCell ref="F23:K28"/>
    <mergeCell ref="A23:E28"/>
    <mergeCell ref="A4:C4"/>
    <mergeCell ref="J4:K4"/>
    <mergeCell ref="A13:C13"/>
    <mergeCell ref="A5:C11"/>
    <mergeCell ref="G5:I11"/>
    <mergeCell ref="D14:F20"/>
    <mergeCell ref="D13:F13"/>
    <mergeCell ref="G14:K20"/>
    <mergeCell ref="J5:K11"/>
    <mergeCell ref="A1:K1"/>
    <mergeCell ref="D4:F4"/>
    <mergeCell ref="G4:I4"/>
    <mergeCell ref="G13:K13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Instructions SIC</vt:lpstr>
      <vt:lpstr>Impact Visé</vt:lpstr>
      <vt:lpstr>Bénéficiaires</vt:lpstr>
      <vt:lpstr>Mesure d'Impact</vt:lpstr>
      <vt:lpstr>ODD &amp; Contribution</vt:lpstr>
      <vt:lpstr>Risques &amp; Défis</vt:lpstr>
      <vt:lpstr>SIC RÉCAP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YACÉ Philippe-Emmanuel</cp:lastModifiedBy>
  <dcterms:created xsi:type="dcterms:W3CDTF">2026-01-15T11:15:21Z</dcterms:created>
  <dcterms:modified xsi:type="dcterms:W3CDTF">2026-02-09T14:17:13Z</dcterms:modified>
</cp:coreProperties>
</file>